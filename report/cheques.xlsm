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b272e049171d418/Documents/GitHub/sadabad-team/report/cheques/"/>
    </mc:Choice>
  </mc:AlternateContent>
  <xr:revisionPtr revIDLastSave="0" documentId="8_{D0319BD8-9C9C-4C5A-B73A-D19252587DD9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<sst xmlns="http://schemas.openxmlformats.org/spreadsheetml/2006/main" count="701" uniqueCount="274">
  <si>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</si>
  <si>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</si>
  <si>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</si>
  <si>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</si>
  <si>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</si>
  <si>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</si>
  <si>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</si>
  <si>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</si>
  <si>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</si>
  <si>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</si>
  <si>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</si>
  <si>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</si>
  <si>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</si>
  <si>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</si>
  <si>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</si>
  <si>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</si>
  <si>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</si>
  <si>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</si>
  <si>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</si>
  <si>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</si>
  <si>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</si>
  <si>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</si>
  <si>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</si>
  <si>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</si>
  <si>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</si>
  <si>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</si>
  <si>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</si>
  <si>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</si>
  <si>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</si>
  <si>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</si>
  <si>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</si>
  <si>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</si>
  <si>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</si>
  <si>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</si>
  <si>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</si>
  <si>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</si>
  <si>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</si>
  <si>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</si>
  <si>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</si>
  <si>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</si>
  <si>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</si>
  <si>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</si>
  <si>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</si>
  <si>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</si>
  <si>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</si>
  <si>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</si>
  <si>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</si>
  <si>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</si>
  <si>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</si>
  <si>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</si>
  <si>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</si>
  <si>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</si>
  <si>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</si>
  <si>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</si>
  <si>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</si>
  <si>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</si>
  <si>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</si>
  <si>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</si>
  <si>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</si>
  <si>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</si>
  <si>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</si>
  <si>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</si>
  <si>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</si>
  <si>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</si>
  <si>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</si>
  <si>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</si>
  <si>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</si>
  <si>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</si>
  <si>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</si>
  <si>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</si>
  <si>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</si>
  <si>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</si>
  <si>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</si>
  <si>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</si>
  <si>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</si>
  <si>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</si>
  <si>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</si>
  <si>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</si>
  <si>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</si>
  <si>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</si>
  <si>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</si>
  <si>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</si>
  <si>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</si>
  <si>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</si>
  <si>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</si>
  <si>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</si>
  <si>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</si>
  <si>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</si>
  <si>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</si>
  <si>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</si>
  <si>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</si>
  <si>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</si>
  <si>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</si>
  <si>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</si>
  <si>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</si>
  <si>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</si>
  <si>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</si>
  <si>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</si>
  <si>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</si>
  <si>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</si>
  <si>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</si>
  <si>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</si>
  <si>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</si>
  <si>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</si>
  <si>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</si>
  <si>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</si>
  <si>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</si>
  <si>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</si>
  <si>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</si>
  <si>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</si>
  <si>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</si>
  <si>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</si>
  <si>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</si>
  <si>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</si>
  <si>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</si>
  <si>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</si>
  <si>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</si>
  <si>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</si>
  <si>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</si>
  <si>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</si>
  <si>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</si>
  <si>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</si>
  <si>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</si>
  <si>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</si>
  <si>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</si>
  <si>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</si>
  <si>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</si>
  <si>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</si>
  <si>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</si>
  <si>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</si>
  <si>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</si>
  <si>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</si>
  <si>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</si>
  <si>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</si>
  <si>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</si>
  <si>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</si>
  <si>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</si>
  <si>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</si>
  <si>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</si>
  <si>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</si>
  <si>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</si>
  <si>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</si>
  <si>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</si>
  <si>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</si>
  <si>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</si>
  <si>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</si>
  <si>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</si>
  <si>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</si>
  <si>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</si>
  <si>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</si>
  <si>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</si>
  <si>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</si>
  <si>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</si>
  <si>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</si>
  <si>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</si>
  <si>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</si>
  <si>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</si>
  <si>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</si>
  <si>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</si>
  <si>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</si>
  <si>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</si>
  <si>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</si>
  <si>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</si>
  <si>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</si>
  <si>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</si>
  <si>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</si>
  <si>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</si>
  <si>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</si>
  <si>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</si>
  <si>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</si>
  <si>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</si>
  <si>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</si>
  <si>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</si>
  <si>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</si>
  <si>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</si>
  <si>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</si>
  <si>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</si>
  <si>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</si>
  <si>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</si>
  <si>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</si>
  <si>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</si>
  <si>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</si>
  <si>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</si>
  <si>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</si>
  <si>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</si>
  <si>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</si>
  <si>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</si>
  <si>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</si>
  <si>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</si>
  <si>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</si>
  <si>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تمدید پول سودی قبلی (130،000،000)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</si>
  <si>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</si>
  <si>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</si>
  <si>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</si>
  <si>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</si>
  <si>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</si>
  <si>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</si>
  <si>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</si>
  <si>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</si>
  <si>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</si>
  <si>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</si>
  <si>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</si>
  <si>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</si>
  <si>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</si>
  <si>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</si>
  <si>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</si>
  <si>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</si>
  <si>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</si>
  <si>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</si>
  <si>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</si>
  <si>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</si>
  <si>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</si>
  <si>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</si>
  <si>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</si>
  <si>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</si>
  <si>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</si>
  <si>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</si>
  <si>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</si>
  <si>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</si>
  <si>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</si>
  <si>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</si>
  <si>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</si>
  <si>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</si>
  <si>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</si>
  <si>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</si>
  <si>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</si>
  <si>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</si>
  <si>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</si>
  <si>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</si>
  <si>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</si>
  <si>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</si>
  <si>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</si>
  <si>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</si>
  <si>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</si>
  <si>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</si>
  <si>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</si>
  <si>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</si>
  <si>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</si>
  <si>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</si>
  <si>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</si>
  <si>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</si>
  <si>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</si>
  <si>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</si>
  <si>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</si>
  <si>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</si>
  <si>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</si>
  <si>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</si>
  <si>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</si>
  <si>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</si>
  <si>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</si>
  <si>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</si>
  <si>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</si>
  <si>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</si>
  <si>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</si>
  <si>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</si>
  <si>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</si>
  <si>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</si>
  <si>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</si>
  <si>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</si>
  <si>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</si>
  <si>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</si>
  <si>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</si>
  <si>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</si>
  <si>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</si>
  <si>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</si>
  <si>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</si>
  <si>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</si>
  <si>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</si>
  <si>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</si>
  <si>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</si>
  <si>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</si>
  <si>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</si>
  <si>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1405/08/12</t>
  </si>
  <si>
    <t>1405/08/20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</si>
</sst>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C80" zoomScale="99" zoomScaleNormal="100" workbookViewId="0">
      <selection activeCell="D43" sqref="D43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198</v>
      </c>
      <c r="I5" s="30">
        <v>33900000</v>
      </c>
      <c r="J5" s="22" t="s">
        <v>18</v>
      </c>
      <c r="K5" s="31" t="s">
        <v>19</v>
      </c>
      <c r="L5" s="32">
        <f>SUMIF(F:F,"چک",I:I)</f>
        <v>9482100000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200</v>
      </c>
      <c r="I6" s="30">
        <v>33900000</v>
      </c>
      <c r="J6" s="22" t="s">
        <v>18</v>
      </c>
      <c r="K6" s="34" t="s">
        <v>23</v>
      </c>
      <c r="L6" s="35">
        <f>SUMIF(F:F,"چک پاس شده",I:I)</f>
        <v>7236550000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199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271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201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202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203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204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38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205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38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206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206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207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208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209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210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211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212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213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214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215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216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217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218</v>
      </c>
      <c r="I26" s="30">
        <v>250000000</v>
      </c>
      <c r="J26" s="22" t="s">
        <v>18</v>
      </c>
      <c r="K26" s="17" t="s">
        <v>270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219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220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221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222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223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224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225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226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227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228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229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230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231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226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232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232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233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24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218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24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234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24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235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200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209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236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223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236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223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227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213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237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238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231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239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240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241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242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243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76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244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165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245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165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246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140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247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248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249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250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251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252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253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254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22</v>
      </c>
      <c r="G74" s="29" t="s">
        <v>138</v>
      </c>
      <c r="H74" s="57" t="s">
        <v>255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256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257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258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259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260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261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261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262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24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263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24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264</v>
      </c>
      <c r="I84" s="30">
        <v>50000000</v>
      </c>
      <c r="J84" s="22"/>
      <c r="K84" s="17"/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119</v>
      </c>
      <c r="D85" s="18" t="s">
        <v>190</v>
      </c>
      <c r="E85" s="18" t="s">
        <v>30</v>
      </c>
      <c r="F85" s="18" t="s">
        <v>22</v>
      </c>
      <c r="G85" s="29" t="s">
        <v>188</v>
      </c>
      <c r="H85" s="57" t="s">
        <v>265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191</v>
      </c>
      <c r="E86" s="18" t="s">
        <v>30</v>
      </c>
      <c r="F86" s="18" t="s">
        <v>22</v>
      </c>
      <c r="G86" s="29" t="s">
        <v>188</v>
      </c>
      <c r="H86" s="57" t="s">
        <v>265</v>
      </c>
      <c r="I86" s="30">
        <v>1950000000</v>
      </c>
      <c r="J86" s="22"/>
      <c r="K86" s="17"/>
      <c r="L86" s="30"/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192</v>
      </c>
      <c r="E87" s="18" t="s">
        <v>30</v>
      </c>
      <c r="F87" s="18" t="s">
        <v>22</v>
      </c>
      <c r="G87" s="29" t="s">
        <v>193</v>
      </c>
      <c r="H87" s="51" t="s">
        <v>266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194</v>
      </c>
      <c r="E88" s="18" t="s">
        <v>30</v>
      </c>
      <c r="F88" s="18" t="s">
        <v>16</v>
      </c>
      <c r="G88" s="29" t="s">
        <v>196</v>
      </c>
      <c r="H88" s="52" t="s">
        <v>267</v>
      </c>
      <c r="I88" s="30">
        <v>250000000</v>
      </c>
      <c r="J88" s="22"/>
      <c r="K88" s="17"/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194</v>
      </c>
      <c r="E89" s="18" t="s">
        <v>30</v>
      </c>
      <c r="F89" s="18" t="s">
        <v>22</v>
      </c>
      <c r="G89" s="29" t="s">
        <v>196</v>
      </c>
      <c r="H89" s="53" t="s">
        <v>239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194</v>
      </c>
      <c r="E90" s="18" t="s">
        <v>30</v>
      </c>
      <c r="F90" s="18" t="s">
        <v>22</v>
      </c>
      <c r="G90" s="29" t="s">
        <v>196</v>
      </c>
      <c r="H90" s="53" t="s">
        <v>268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197</v>
      </c>
      <c r="E91" s="18" t="s">
        <v>30</v>
      </c>
      <c r="F91" s="18" t="s">
        <v>22</v>
      </c>
      <c r="G91" s="29" t="s">
        <v>195</v>
      </c>
      <c r="H91" s="53" t="s">
        <v>269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/>
      <c r="B92" s="17"/>
      <c r="C92" s="18"/>
      <c r="D92" s="18"/>
      <c r="E92" s="18"/>
      <c r="F92" s="18"/>
      <c r="G92" s="29"/>
      <c r="H92" s="51"/>
      <c r="I92" s="30"/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/>
      <c r="B93" s="17"/>
      <c r="C93" s="18"/>
      <c r="D93" s="18"/>
      <c r="E93" s="18"/>
      <c r="F93" s="18"/>
      <c r="G93" s="29"/>
      <c r="H93" s="51"/>
      <c r="I93" s="30"/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/>
      <c r="B94" s="17"/>
      <c r="C94" s="18"/>
      <c r="D94" s="18"/>
      <c r="E94" s="18"/>
      <c r="F94" s="18"/>
      <c r="G94" s="29"/>
      <c r="H94" s="57" t="s">
        <v>273</v>
      </c>
      <c r="I94" s="30"/>
      <c r="J94" s="22"/>
      <c r="K94" s="58"/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/>
      <c r="B95" s="17"/>
      <c r="C95" s="18"/>
      <c r="D95" s="18"/>
      <c r="E95" s="18"/>
      <c r="F95" s="18"/>
      <c r="G95" s="29"/>
      <c r="H95" s="57" t="s">
        <v>272</v>
      </c>
      <c r="I95" s="30"/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3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7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2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3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44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2026-10-27T15:19:43Z</dcterms:modified>
</cp:coreProperties>
</file>