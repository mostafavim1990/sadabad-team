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8DD06E97-026F-4BB2-9B4B-A2A2A83E8C3F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00" i="1" l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4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5" i="4" l="1"/>
  <c r="N14" i="1" s="1"/>
  <c r="C15" i="6"/>
  <c r="C15" i="3"/>
  <c r="A13" i="7"/>
  <c r="C28" i="2"/>
  <c r="N13" i="1"/>
  <c r="A12" i="7"/>
  <c r="K6" i="1"/>
  <c r="A65" i="7" l="1"/>
  <c r="K8" i="1"/>
  <c r="K12" i="1"/>
  <c r="K14" i="1" s="1"/>
  <c r="K18" i="1"/>
</calcChain>
</file>

<file path=xl/sharedStrings.xml><?xml version="1.0" encoding="utf-8"?>
<sst xmlns="http://schemas.openxmlformats.org/spreadsheetml/2006/main" count="3436" uniqueCount="1292">
  <si>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</si>
  <si>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</si>
  <si>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</si>
  <si>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</si>
  <si>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</si>
  <si>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</si>
  <si>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</si>
  <si>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</si>
  <si>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</si>
  <si>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</si>
  <si>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</si>
  <si>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</si>
  <si>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</si>
  <si>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</si>
  <si>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</si>
  <si>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</si>
  <si>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</si>
  <si>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</si>
  <si>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</si>
  <si>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</si>
  <si>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</si>
  <si>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</si>
  <si>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</si>
  <si>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</si>
  <si>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</si>
  <si>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</si>
  <si>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</si>
  <si>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</si>
  <si>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</si>
  <si>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</si>
  <si>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</si>
  <si>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</si>
  <si>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</si>
  <si>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</si>
  <si>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</si>
  <si>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</si>
  <si>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</si>
  <si>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</si>
  <si>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</si>
  <si>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</si>
  <si>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</si>
  <si>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</si>
  <si>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</si>
  <si>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</si>
  <si>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</si>
  <si>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</si>
  <si>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</si>
  <si>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</si>
  <si>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</si>
  <si>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</si>
  <si>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</si>
  <si>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</si>
  <si>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</si>
  <si>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</si>
  <si>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</si>
  <si>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</si>
  <si>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</si>
  <si>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</si>
  <si>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</si>
  <si>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</si>
  <si>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</si>
  <si>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</si>
  <si>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</si>
  <si>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</si>
  <si>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</si>
  <si>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</si>
  <si>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</si>
  <si>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</si>
  <si>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</si>
  <si>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</si>
  <si>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</si>
  <si>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</si>
  <si>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</si>
  <si>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</si>
  <si>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</si>
  <si>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</si>
  <si>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</si>
  <si>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</si>
  <si>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</si>
  <si>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</si>
  <si>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</si>
  <si>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</si>
  <si>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</si>
  <si>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</si>
  <si>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</si>
  <si>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</si>
  <si>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</si>
  <si>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</si>
  <si>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</si>
  <si>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</si>
  <si>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</si>
  <si>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</si>
  <si>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</si>
  <si>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</si>
  <si>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</si>
  <si>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</si>
  <si>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</si>
  <si>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</si>
  <si>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</si>
  <si>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</si>
  <si>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</si>
  <si>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</si>
  <si>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</si>
  <si>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</si>
  <si>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</si>
  <si>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</si>
  <si>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</si>
  <si>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</si>
  <si>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</si>
  <si>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</si>
  <si>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</si>
  <si>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</si>
  <si>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</si>
  <si>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</si>
  <si>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</si>
  <si>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</si>
  <si>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</si>
  <si>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</si>
  <si>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</si>
  <si>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</si>
  <si>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</si>
  <si>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</si>
  <si>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</si>
  <si>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</si>
  <si>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</si>
  <si>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</si>
  <si>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</si>
  <si>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</si>
  <si>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</si>
  <si>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</si>
  <si>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</si>
  <si>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</si>
  <si>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</si>
  <si>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</si>
  <si>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</si>
  <si>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</si>
  <si>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</si>
  <si>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</si>
  <si>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</si>
  <si>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</si>
  <si>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</si>
  <si>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</si>
  <si>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</si>
  <si>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</si>
  <si>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</si>
  <si>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</si>
  <si>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</si>
  <si>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</si>
  <si>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</si>
  <si>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</si>
  <si>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</si>
  <si>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</si>
  <si>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</si>
  <si>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</si>
  <si>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</si>
  <si>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</si>
  <si>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</si>
  <si>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</si>
  <si>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</si>
  <si>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</si>
  <si>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</si>
  <si>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</si>
  <si>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</si>
  <si>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</si>
  <si>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</si>
  <si>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</si>
  <si>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</si>
  <si>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</si>
  <si>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</si>
  <si>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</si>
  <si>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</si>
  <si>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</si>
  <si>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</si>
  <si>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</si>
  <si>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</si>
  <si>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</si>
  <si>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</si>
  <si>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</si>
  <si>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</si>
  <si>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</si>
  <si>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</si>
  <si>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</si>
  <si>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</si>
  <si>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</si>
  <si>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</si>
  <si>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</si>
  <si>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</si>
  <si>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</si>
  <si>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</si>
  <si>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</si>
  <si>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</si>
  <si>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</si>
  <si>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</si>
  <si>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</si>
  <si>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</si>
  <si>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</si>
  <si>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</si>
  <si>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</si>
  <si>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</si>
  <si>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</si>
  <si>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</si>
  <si>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</si>
  <si>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</si>
  <si>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</si>
  <si>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</si>
  <si>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</si>
  <si>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</si>
  <si>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</si>
  <si>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</si>
  <si>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</si>
  <si>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</si>
  <si>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</si>
  <si>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</si>
  <si>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</si>
  <si>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</si>
  <si>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</si>
  <si>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</si>
  <si>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</si>
  <si>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</si>
  <si>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</si>
  <si>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</si>
  <si>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</si>
  <si>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</si>
  <si>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</si>
  <si>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</si>
  <si>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</si>
  <si>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</si>
  <si>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</si>
  <si>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</si>
  <si>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</si>
  <si>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</si>
  <si>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</si>
  <si>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</si>
  <si>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</si>
  <si>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</si>
  <si>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</si>
  <si>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</si>
  <si>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</si>
  <si>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</si>
  <si>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</si>
  <si>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</si>
  <si>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</si>
  <si>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</si>
  <si>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</si>
  <si>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</si>
  <si>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</si>
  <si>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</si>
  <si>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</si>
  <si>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</si>
  <si>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</si>
  <si>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</si>
  <si>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</si>
  <si>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</si>
  <si>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</si>
  <si>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</si>
  <si>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</si>
  <si>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</si>
  <si>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</si>
  <si>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</si>
  <si>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</si>
  <si>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</si>
  <si>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</si>
  <si>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</si>
  <si>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</si>
  <si>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</si>
  <si>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</si>
  <si>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</si>
  <si>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</si>
  <si>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</si>
  <si>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</si>
  <si>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</si>
  <si>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</si>
  <si>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</si>
  <si>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</si>
  <si>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</si>
  <si>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</si>
  <si>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</si>
  <si>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</si>
  <si>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</si>
  <si>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</si>
  <si>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</si>
  <si>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</si>
  <si>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</si>
  <si>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</si>
  <si>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</si>
  <si>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</si>
  <si>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</si>
  <si>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</si>
  <si>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</si>
  <si>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</si>
  <si>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</si>
  <si>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</si>
  <si>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</si>
  <si>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</si>
  <si>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</si>
  <si>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</si>
  <si>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</si>
  <si>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</si>
  <si>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</si>
  <si>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</si>
  <si>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</si>
  <si>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</si>
  <si>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</si>
  <si>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</si>
  <si>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</si>
  <si>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</si>
  <si>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</si>
  <si>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</si>
  <si>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</si>
  <si>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</si>
  <si>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</si>
  <si>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</si>
  <si>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</si>
  <si>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</si>
  <si>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</si>
  <si>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</si>
  <si>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</si>
  <si>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</si>
  <si>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</si>
  <si>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</si>
  <si>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</si>
  <si>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</si>
  <si>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</si>
  <si>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</si>
  <si>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</si>
  <si>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</si>
  <si>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</si>
  <si>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</si>
  <si>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</si>
  <si>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</si>
  <si>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 xml:space="preserve">چک مشتری- مهدی فتحی 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</si>
  <si>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</si>
  <si>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</si>
  <si>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</si>
  <si>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</si>
  <si>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</si>
  <si>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</si>
  <si>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</si>
  <si>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</si>
  <si>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</si>
  <si>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چک مشتری - حبیبی اومالی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</si>
  <si>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</si>
  <si>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</si>
  <si>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</si>
  <si>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</si>
  <si>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</si>
  <si>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</si>
  <si>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</si>
  <si>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</si>
  <si>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</si>
  <si>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</si>
  <si>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</si>
  <si>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</si>
  <si>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</si>
  <si>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</si>
  <si>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</si>
  <si>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</si>
  <si>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</si>
  <si>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</si>
  <si>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</si>
  <si>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</si>
  <si>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</si>
  <si>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</si>
  <si>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</si>
  <si>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</si>
  <si>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</si>
  <si>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</si>
  <si>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</si>
  <si>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</si>
  <si>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</si>
  <si>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</si>
  <si>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</si>
  <si>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</si>
  <si>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</si>
  <si>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</si>
  <si>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</si>
  <si>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</si>
  <si>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</si>
  <si>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</si>
  <si>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</si>
  <si>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</si>
  <si>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</si>
  <si>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</si>
  <si>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</si>
  <si>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</si>
  <si>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</si>
  <si>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</si>
  <si>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</si>
  <si>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</si>
  <si>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</si>
  <si>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</si>
  <si>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</si>
  <si>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</si>
  <si>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</si>
  <si>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</si>
  <si>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</si>
  <si>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</si>
  <si>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</si>
  <si>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</si>
  <si>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</si>
  <si>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</si>
  <si>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</si>
  <si>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</si>
  <si>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</si>
  <si>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</si>
  <si>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</si>
  <si>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</si>
  <si>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</si>
  <si>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</si>
  <si>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</si>
  <si>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</si>
  <si>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</si>
  <si>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</si>
  <si>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</si>
  <si>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</si>
  <si>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</si>
  <si>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</si>
  <si>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</si>
  <si>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</si>
  <si>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</si>
  <si>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</si>
  <si>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</si>
  <si>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</si>
  <si>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</si>
  <si>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</si>
  <si>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</si>
  <si>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</si>
  <si>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</si>
  <si>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</si>
  <si>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</si>
  <si>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یک روز بعد پاس شد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</si>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</sst>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0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56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13964888587</c:v>
                </c:pt>
                <c:pt idx="1">
                  <c:v>14597111413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A490" zoomScale="108" workbookViewId="0">
      <selection activeCell="B509" sqref="B509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75</v>
      </c>
      <c r="C6" s="125" t="s">
        <v>76</v>
      </c>
      <c r="D6" s="125" t="s">
        <v>77</v>
      </c>
      <c r="E6" s="125" t="s">
        <v>78</v>
      </c>
      <c r="F6" s="126" t="s">
        <v>79</v>
      </c>
      <c r="G6" s="127" t="s">
        <v>80</v>
      </c>
      <c r="H6" s="127">
        <v>15000000</v>
      </c>
      <c r="I6" s="128"/>
      <c r="J6" s="129" t="s">
        <v>81</v>
      </c>
      <c r="K6" s="130">
        <f>SUM(H:H)</f>
        <v>13964888587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82</v>
      </c>
      <c r="C7" s="125" t="s">
        <v>83</v>
      </c>
      <c r="D7" s="124" t="s">
        <v>84</v>
      </c>
      <c r="E7" s="124" t="s">
        <v>78</v>
      </c>
      <c r="F7" s="126" t="s">
        <v>85</v>
      </c>
      <c r="G7" s="127" t="s">
        <v>80</v>
      </c>
      <c r="H7" s="134">
        <v>1000000</v>
      </c>
      <c r="I7" s="135"/>
      <c r="J7" s="136" t="s">
        <v>86</v>
      </c>
      <c r="K7" s="137">
        <v>736</v>
      </c>
      <c r="L7" s="138" t="s">
        <v>87</v>
      </c>
      <c r="M7" s="139" t="s">
        <v>88</v>
      </c>
      <c r="N7" s="140" t="s">
        <v>81</v>
      </c>
      <c r="O7" s="140" t="s">
        <v>89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90</v>
      </c>
      <c r="C8" s="125" t="s">
        <v>91</v>
      </c>
      <c r="D8" s="124" t="s">
        <v>92</v>
      </c>
      <c r="E8" s="124" t="s">
        <v>78</v>
      </c>
      <c r="F8" s="126" t="s">
        <v>93</v>
      </c>
      <c r="G8" s="127" t="s">
        <v>80</v>
      </c>
      <c r="H8" s="134">
        <v>654000</v>
      </c>
      <c r="I8" s="135"/>
      <c r="J8" s="124" t="s">
        <v>94</v>
      </c>
      <c r="K8" s="141">
        <f>K6/K7</f>
        <v>18974033.40625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95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90</v>
      </c>
      <c r="C9" s="125" t="s">
        <v>96</v>
      </c>
      <c r="D9" s="124" t="s">
        <v>92</v>
      </c>
      <c r="E9" s="124" t="s">
        <v>78</v>
      </c>
      <c r="F9" s="126" t="s">
        <v>97</v>
      </c>
      <c r="G9" s="127" t="s">
        <v>80</v>
      </c>
      <c r="H9" s="134">
        <v>580000</v>
      </c>
      <c r="I9" s="135"/>
      <c r="J9" s="124" t="s">
        <v>98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99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90</v>
      </c>
      <c r="C10" s="125" t="s">
        <v>100</v>
      </c>
      <c r="D10" s="124" t="s">
        <v>92</v>
      </c>
      <c r="E10" s="124" t="s">
        <v>78</v>
      </c>
      <c r="F10" s="146" t="s">
        <v>101</v>
      </c>
      <c r="G10" s="127" t="s">
        <v>80</v>
      </c>
      <c r="H10" s="134">
        <v>1700000</v>
      </c>
      <c r="I10" s="135"/>
      <c r="J10" s="124" t="s">
        <v>102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1283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90</v>
      </c>
      <c r="C11" s="124" t="s">
        <v>103</v>
      </c>
      <c r="D11" s="124" t="s">
        <v>104</v>
      </c>
      <c r="E11" s="124" t="s">
        <v>78</v>
      </c>
      <c r="F11" s="126" t="s">
        <v>105</v>
      </c>
      <c r="G11" s="127" t="s">
        <v>80</v>
      </c>
      <c r="H11" s="134">
        <v>43700000</v>
      </c>
      <c r="I11" s="135"/>
      <c r="J11" s="124" t="s">
        <v>106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1284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90</v>
      </c>
      <c r="C12" s="125" t="s">
        <v>107</v>
      </c>
      <c r="D12" s="124" t="s">
        <v>108</v>
      </c>
      <c r="E12" s="124" t="s">
        <v>78</v>
      </c>
      <c r="F12" s="126" t="s">
        <v>105</v>
      </c>
      <c r="G12" s="127" t="s">
        <v>80</v>
      </c>
      <c r="H12" s="134">
        <v>2547500</v>
      </c>
      <c r="I12" s="135"/>
      <c r="J12" s="148" t="s">
        <v>109</v>
      </c>
      <c r="K12" s="149">
        <f>K6</f>
        <v>13964888587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110</v>
      </c>
      <c r="C13" s="124" t="s">
        <v>111</v>
      </c>
      <c r="D13" s="124" t="s">
        <v>112</v>
      </c>
      <c r="E13" s="124" t="s">
        <v>78</v>
      </c>
      <c r="F13" s="146" t="s">
        <v>113</v>
      </c>
      <c r="G13" s="127" t="s">
        <v>80</v>
      </c>
      <c r="H13" s="134">
        <v>182000</v>
      </c>
      <c r="I13" s="135"/>
      <c r="J13" s="124" t="s">
        <v>114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115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110</v>
      </c>
      <c r="C14" s="124" t="s">
        <v>116</v>
      </c>
      <c r="D14" s="124" t="s">
        <v>92</v>
      </c>
      <c r="E14" s="124" t="s">
        <v>78</v>
      </c>
      <c r="F14" s="146" t="s">
        <v>113</v>
      </c>
      <c r="G14" s="127" t="s">
        <v>80</v>
      </c>
      <c r="H14" s="134">
        <v>2250000</v>
      </c>
      <c r="I14" s="135"/>
      <c r="J14" s="155" t="s">
        <v>117</v>
      </c>
      <c r="K14" s="156">
        <f>K13-K12</f>
        <v>14597111413</v>
      </c>
      <c r="L14" s="151"/>
      <c r="M14" s="157"/>
      <c r="N14" s="158">
        <f>SUM(Sheet2!C28+Sheet3!C15+Sheet4!C15+Sheet6!C15)</f>
        <v>24252999999.999901</v>
      </c>
      <c r="O14" s="159" t="s">
        <v>118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110</v>
      </c>
      <c r="C15" s="124" t="s">
        <v>119</v>
      </c>
      <c r="D15" s="124" t="s">
        <v>120</v>
      </c>
      <c r="E15" s="124" t="s">
        <v>78</v>
      </c>
      <c r="F15" s="146" t="s">
        <v>121</v>
      </c>
      <c r="G15" s="127" t="s">
        <v>80</v>
      </c>
      <c r="H15" s="134">
        <v>23016300</v>
      </c>
      <c r="I15" s="160"/>
      <c r="J15" s="161"/>
      <c r="K15" s="162" t="s">
        <v>122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110</v>
      </c>
      <c r="C16" s="124" t="s">
        <v>123</v>
      </c>
      <c r="D16" s="124" t="s">
        <v>124</v>
      </c>
      <c r="E16" s="124" t="s">
        <v>78</v>
      </c>
      <c r="F16" s="146" t="s">
        <v>125</v>
      </c>
      <c r="G16" s="127" t="s">
        <v>80</v>
      </c>
      <c r="H16" s="134">
        <v>23435966</v>
      </c>
      <c r="I16" s="160"/>
      <c r="J16" s="165" t="s">
        <v>40</v>
      </c>
      <c r="K16" s="166" t="s">
        <v>126</v>
      </c>
      <c r="L16" s="163"/>
      <c r="M16" s="151"/>
      <c r="N16" s="167" t="s">
        <v>7</v>
      </c>
      <c r="O16" s="168" t="s">
        <v>127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110</v>
      </c>
      <c r="C17" s="124" t="s">
        <v>128</v>
      </c>
      <c r="D17" s="124" t="s">
        <v>129</v>
      </c>
      <c r="E17" s="124" t="s">
        <v>78</v>
      </c>
      <c r="F17" s="146" t="s">
        <v>130</v>
      </c>
      <c r="G17" s="127" t="s">
        <v>80</v>
      </c>
      <c r="H17" s="134">
        <v>26930000</v>
      </c>
      <c r="I17" s="160" t="s">
        <v>131</v>
      </c>
      <c r="J17" s="165" t="s">
        <v>132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133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110</v>
      </c>
      <c r="C18" s="124" t="s">
        <v>134</v>
      </c>
      <c r="D18" s="124" t="s">
        <v>135</v>
      </c>
      <c r="E18" s="124" t="s">
        <v>78</v>
      </c>
      <c r="F18" s="146" t="s">
        <v>130</v>
      </c>
      <c r="G18" s="127" t="s">
        <v>80</v>
      </c>
      <c r="H18" s="134">
        <v>108307500</v>
      </c>
      <c r="I18" s="160"/>
      <c r="J18" s="173" t="s">
        <v>136</v>
      </c>
      <c r="K18" s="174">
        <f>K17/K6</f>
        <v>6.4651239025312821E-2</v>
      </c>
      <c r="L18" s="163"/>
      <c r="M18" s="151"/>
      <c r="N18" s="175">
        <f>Sheet3!C14</f>
        <v>3000000000</v>
      </c>
      <c r="O18" s="176" t="s">
        <v>137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110</v>
      </c>
      <c r="C19" s="124" t="s">
        <v>138</v>
      </c>
      <c r="D19" s="124" t="s">
        <v>139</v>
      </c>
      <c r="E19" s="124" t="s">
        <v>78</v>
      </c>
      <c r="F19" s="146" t="s">
        <v>130</v>
      </c>
      <c r="G19" s="127" t="s">
        <v>80</v>
      </c>
      <c r="H19" s="134">
        <v>100007500</v>
      </c>
      <c r="I19" s="160"/>
      <c r="J19" s="173"/>
      <c r="K19" s="177"/>
      <c r="L19" s="163"/>
      <c r="M19" s="151"/>
      <c r="N19" s="242">
        <f>Sheet4!C14</f>
        <v>1500000000</v>
      </c>
      <c r="O19" s="241" t="s">
        <v>1282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110</v>
      </c>
      <c r="C20" s="125" t="s">
        <v>140</v>
      </c>
      <c r="D20" s="125" t="s">
        <v>141</v>
      </c>
      <c r="E20" s="125" t="s">
        <v>78</v>
      </c>
      <c r="F20" s="126" t="s">
        <v>130</v>
      </c>
      <c r="G20" s="127" t="s">
        <v>80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110</v>
      </c>
      <c r="C21" s="124" t="s">
        <v>142</v>
      </c>
      <c r="D21" s="124" t="s">
        <v>143</v>
      </c>
      <c r="E21" s="124" t="s">
        <v>144</v>
      </c>
      <c r="F21" s="146" t="s">
        <v>145</v>
      </c>
      <c r="G21" s="127" t="s">
        <v>80</v>
      </c>
      <c r="H21" s="134">
        <v>33900000</v>
      </c>
      <c r="I21" s="135"/>
      <c r="J21" s="181" t="s">
        <v>146</v>
      </c>
      <c r="K21" s="182">
        <f>SUMIF(E:E,"چک",H:H)</f>
        <v>3906800500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110</v>
      </c>
      <c r="C22" s="124" t="s">
        <v>147</v>
      </c>
      <c r="D22" s="124" t="s">
        <v>148</v>
      </c>
      <c r="E22" s="124" t="s">
        <v>144</v>
      </c>
      <c r="F22" s="146" t="s">
        <v>17</v>
      </c>
      <c r="G22" s="127" t="s">
        <v>80</v>
      </c>
      <c r="H22" s="134">
        <v>33900000</v>
      </c>
      <c r="I22" s="135"/>
      <c r="J22" s="184" t="s">
        <v>149</v>
      </c>
      <c r="K22" s="185">
        <f>SUMIF(E:E,"چک پاس شده",H:H)</f>
        <v>5949100000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110</v>
      </c>
      <c r="C23" s="124" t="s">
        <v>150</v>
      </c>
      <c r="D23" s="124" t="s">
        <v>151</v>
      </c>
      <c r="E23" s="124" t="s">
        <v>78</v>
      </c>
      <c r="F23" s="146" t="s">
        <v>152</v>
      </c>
      <c r="G23" s="127" t="s">
        <v>80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110</v>
      </c>
      <c r="C24" s="124" t="s">
        <v>153</v>
      </c>
      <c r="D24" s="124" t="s">
        <v>154</v>
      </c>
      <c r="E24" s="124" t="s">
        <v>78</v>
      </c>
      <c r="F24" s="146" t="s">
        <v>155</v>
      </c>
      <c r="G24" s="127" t="s">
        <v>80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110</v>
      </c>
      <c r="C25" s="124" t="s">
        <v>156</v>
      </c>
      <c r="D25" s="124" t="s">
        <v>157</v>
      </c>
      <c r="E25" s="124" t="s">
        <v>78</v>
      </c>
      <c r="F25" s="146" t="s">
        <v>158</v>
      </c>
      <c r="G25" s="127" t="s">
        <v>80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110</v>
      </c>
      <c r="C26" s="124" t="s">
        <v>156</v>
      </c>
      <c r="D26" s="124" t="s">
        <v>159</v>
      </c>
      <c r="E26" s="124" t="s">
        <v>78</v>
      </c>
      <c r="F26" s="146" t="s">
        <v>158</v>
      </c>
      <c r="G26" s="127" t="s">
        <v>80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110</v>
      </c>
      <c r="C27" s="124" t="s">
        <v>156</v>
      </c>
      <c r="D27" s="124" t="s">
        <v>160</v>
      </c>
      <c r="E27" s="124" t="s">
        <v>78</v>
      </c>
      <c r="F27" s="146" t="s">
        <v>158</v>
      </c>
      <c r="G27" s="127" t="s">
        <v>80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110</v>
      </c>
      <c r="C28" s="124" t="s">
        <v>156</v>
      </c>
      <c r="D28" s="124" t="s">
        <v>161</v>
      </c>
      <c r="E28" s="124" t="s">
        <v>78</v>
      </c>
      <c r="F28" s="146" t="s">
        <v>158</v>
      </c>
      <c r="G28" s="127" t="s">
        <v>80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110</v>
      </c>
      <c r="C29" s="124" t="s">
        <v>156</v>
      </c>
      <c r="D29" s="124" t="s">
        <v>162</v>
      </c>
      <c r="E29" s="124" t="s">
        <v>78</v>
      </c>
      <c r="F29" s="146" t="s">
        <v>158</v>
      </c>
      <c r="G29" s="127" t="s">
        <v>80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110</v>
      </c>
      <c r="C30" s="124" t="s">
        <v>163</v>
      </c>
      <c r="D30" s="124" t="s">
        <v>164</v>
      </c>
      <c r="E30" s="124" t="s">
        <v>78</v>
      </c>
      <c r="F30" s="146" t="s">
        <v>165</v>
      </c>
      <c r="G30" s="127" t="s">
        <v>80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166</v>
      </c>
      <c r="C31" s="124" t="s">
        <v>167</v>
      </c>
      <c r="D31" s="124" t="s">
        <v>168</v>
      </c>
      <c r="E31" s="124" t="s">
        <v>78</v>
      </c>
      <c r="F31" s="146" t="s">
        <v>169</v>
      </c>
      <c r="G31" s="127" t="s">
        <v>80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170</v>
      </c>
      <c r="C32" s="124" t="s">
        <v>171</v>
      </c>
      <c r="D32" s="124" t="s">
        <v>172</v>
      </c>
      <c r="E32" s="124" t="s">
        <v>78</v>
      </c>
      <c r="F32" s="146" t="s">
        <v>169</v>
      </c>
      <c r="G32" s="127" t="s">
        <v>80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173</v>
      </c>
      <c r="C33" s="124" t="s">
        <v>174</v>
      </c>
      <c r="D33" s="124" t="s">
        <v>175</v>
      </c>
      <c r="E33" s="124" t="s">
        <v>78</v>
      </c>
      <c r="F33" s="146" t="s">
        <v>176</v>
      </c>
      <c r="G33" s="127" t="s">
        <v>80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90</v>
      </c>
      <c r="C34" s="124" t="s">
        <v>177</v>
      </c>
      <c r="D34" s="124" t="s">
        <v>178</v>
      </c>
      <c r="E34" s="124" t="s">
        <v>78</v>
      </c>
      <c r="F34" s="146" t="s">
        <v>179</v>
      </c>
      <c r="G34" s="127" t="s">
        <v>80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90</v>
      </c>
      <c r="C35" s="124" t="s">
        <v>180</v>
      </c>
      <c r="D35" s="124" t="s">
        <v>181</v>
      </c>
      <c r="E35" s="124" t="s">
        <v>78</v>
      </c>
      <c r="F35" s="146" t="s">
        <v>176</v>
      </c>
      <c r="G35" s="127" t="s">
        <v>80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110</v>
      </c>
      <c r="C36" s="124" t="s">
        <v>182</v>
      </c>
      <c r="D36" s="124" t="s">
        <v>183</v>
      </c>
      <c r="E36" s="124" t="s">
        <v>78</v>
      </c>
      <c r="F36" s="146" t="s">
        <v>179</v>
      </c>
      <c r="G36" s="127" t="s">
        <v>80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90</v>
      </c>
      <c r="C37" s="124" t="s">
        <v>184</v>
      </c>
      <c r="D37" s="124" t="s">
        <v>185</v>
      </c>
      <c r="E37" s="124" t="s">
        <v>78</v>
      </c>
      <c r="F37" s="146" t="s">
        <v>179</v>
      </c>
      <c r="G37" s="127" t="s">
        <v>80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82</v>
      </c>
      <c r="C38" s="124" t="s">
        <v>186</v>
      </c>
      <c r="D38" s="124" t="s">
        <v>187</v>
      </c>
      <c r="E38" s="124" t="s">
        <v>78</v>
      </c>
      <c r="F38" s="146" t="s">
        <v>188</v>
      </c>
      <c r="G38" s="127" t="s">
        <v>80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90</v>
      </c>
      <c r="C39" s="124" t="s">
        <v>189</v>
      </c>
      <c r="D39" s="124" t="s">
        <v>190</v>
      </c>
      <c r="E39" s="124" t="s">
        <v>78</v>
      </c>
      <c r="F39" s="146" t="s">
        <v>188</v>
      </c>
      <c r="G39" s="127" t="s">
        <v>80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90</v>
      </c>
      <c r="C40" s="124" t="s">
        <v>191</v>
      </c>
      <c r="D40" s="124" t="s">
        <v>192</v>
      </c>
      <c r="E40" s="124" t="s">
        <v>78</v>
      </c>
      <c r="F40" s="146" t="s">
        <v>193</v>
      </c>
      <c r="G40" s="127" t="s">
        <v>80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90</v>
      </c>
      <c r="C41" s="124" t="s">
        <v>194</v>
      </c>
      <c r="D41" s="124" t="s">
        <v>195</v>
      </c>
      <c r="E41" s="124" t="s">
        <v>78</v>
      </c>
      <c r="F41" s="146" t="s">
        <v>193</v>
      </c>
      <c r="G41" s="127" t="s">
        <v>80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90</v>
      </c>
      <c r="C42" s="124" t="s">
        <v>196</v>
      </c>
      <c r="D42" s="124" t="s">
        <v>197</v>
      </c>
      <c r="E42" s="124" t="s">
        <v>78</v>
      </c>
      <c r="F42" s="146" t="s">
        <v>198</v>
      </c>
      <c r="G42" s="127" t="s">
        <v>80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82</v>
      </c>
      <c r="C43" s="124" t="s">
        <v>199</v>
      </c>
      <c r="D43" s="124" t="s">
        <v>200</v>
      </c>
      <c r="E43" s="124" t="s">
        <v>78</v>
      </c>
      <c r="F43" s="146" t="s">
        <v>198</v>
      </c>
      <c r="G43" s="127" t="s">
        <v>80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82</v>
      </c>
      <c r="C44" s="124" t="s">
        <v>201</v>
      </c>
      <c r="D44" s="124" t="s">
        <v>202</v>
      </c>
      <c r="E44" s="124" t="s">
        <v>78</v>
      </c>
      <c r="F44" s="146" t="s">
        <v>198</v>
      </c>
      <c r="G44" s="127" t="s">
        <v>80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82</v>
      </c>
      <c r="C45" s="124" t="s">
        <v>201</v>
      </c>
      <c r="D45" s="124" t="s">
        <v>203</v>
      </c>
      <c r="E45" s="124" t="s">
        <v>78</v>
      </c>
      <c r="F45" s="146" t="s">
        <v>198</v>
      </c>
      <c r="G45" s="127" t="s">
        <v>80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82</v>
      </c>
      <c r="C46" s="124" t="s">
        <v>204</v>
      </c>
      <c r="D46" s="124" t="s">
        <v>205</v>
      </c>
      <c r="E46" s="124" t="s">
        <v>78</v>
      </c>
      <c r="F46" s="146" t="s">
        <v>198</v>
      </c>
      <c r="G46" s="127" t="s">
        <v>80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90</v>
      </c>
      <c r="C47" s="124" t="s">
        <v>206</v>
      </c>
      <c r="D47" s="124" t="s">
        <v>207</v>
      </c>
      <c r="E47" s="124" t="s">
        <v>78</v>
      </c>
      <c r="F47" s="146" t="s">
        <v>208</v>
      </c>
      <c r="G47" s="127" t="s">
        <v>80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82</v>
      </c>
      <c r="C48" s="124" t="s">
        <v>209</v>
      </c>
      <c r="D48" s="124" t="s">
        <v>210</v>
      </c>
      <c r="E48" s="124" t="s">
        <v>78</v>
      </c>
      <c r="F48" s="146" t="s">
        <v>208</v>
      </c>
      <c r="G48" s="127" t="s">
        <v>80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90</v>
      </c>
      <c r="C49" s="124" t="s">
        <v>211</v>
      </c>
      <c r="D49" s="124" t="s">
        <v>212</v>
      </c>
      <c r="E49" s="124" t="s">
        <v>78</v>
      </c>
      <c r="F49" s="146" t="s">
        <v>208</v>
      </c>
      <c r="G49" s="127" t="s">
        <v>80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82</v>
      </c>
      <c r="C50" s="124" t="s">
        <v>213</v>
      </c>
      <c r="D50" s="124" t="s">
        <v>214</v>
      </c>
      <c r="E50" s="124" t="s">
        <v>78</v>
      </c>
      <c r="F50" s="146" t="s">
        <v>208</v>
      </c>
      <c r="G50" s="127" t="s">
        <v>80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90</v>
      </c>
      <c r="C51" s="124" t="s">
        <v>215</v>
      </c>
      <c r="D51" s="124" t="s">
        <v>216</v>
      </c>
      <c r="E51" s="124" t="s">
        <v>78</v>
      </c>
      <c r="F51" s="146" t="s">
        <v>208</v>
      </c>
      <c r="G51" s="127" t="s">
        <v>80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82</v>
      </c>
      <c r="C52" s="124" t="s">
        <v>217</v>
      </c>
      <c r="D52" s="124" t="s">
        <v>218</v>
      </c>
      <c r="E52" s="124" t="s">
        <v>78</v>
      </c>
      <c r="F52" s="146" t="s">
        <v>208</v>
      </c>
      <c r="G52" s="127" t="s">
        <v>80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82</v>
      </c>
      <c r="C53" s="124" t="s">
        <v>219</v>
      </c>
      <c r="D53" s="124" t="s">
        <v>220</v>
      </c>
      <c r="E53" s="124" t="s">
        <v>78</v>
      </c>
      <c r="F53" s="146" t="s">
        <v>208</v>
      </c>
      <c r="G53" s="127" t="s">
        <v>80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82</v>
      </c>
      <c r="C54" s="124" t="s">
        <v>219</v>
      </c>
      <c r="D54" s="124" t="s">
        <v>221</v>
      </c>
      <c r="E54" s="124" t="s">
        <v>78</v>
      </c>
      <c r="F54" s="146" t="s">
        <v>208</v>
      </c>
      <c r="G54" s="127" t="s">
        <v>80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82</v>
      </c>
      <c r="C55" s="124" t="s">
        <v>201</v>
      </c>
      <c r="D55" s="124" t="s">
        <v>222</v>
      </c>
      <c r="E55" s="124" t="s">
        <v>78</v>
      </c>
      <c r="F55" s="146" t="s">
        <v>208</v>
      </c>
      <c r="G55" s="127" t="s">
        <v>80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90</v>
      </c>
      <c r="C56" s="124" t="s">
        <v>223</v>
      </c>
      <c r="D56" s="124" t="s">
        <v>224</v>
      </c>
      <c r="E56" s="124" t="s">
        <v>78</v>
      </c>
      <c r="F56" s="146" t="s">
        <v>225</v>
      </c>
      <c r="G56" s="127" t="s">
        <v>80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82</v>
      </c>
      <c r="C57" s="124" t="s">
        <v>226</v>
      </c>
      <c r="D57" s="124" t="s">
        <v>227</v>
      </c>
      <c r="E57" s="124" t="s">
        <v>78</v>
      </c>
      <c r="F57" s="146" t="s">
        <v>225</v>
      </c>
      <c r="G57" s="127" t="s">
        <v>80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82</v>
      </c>
      <c r="C58" s="124" t="s">
        <v>219</v>
      </c>
      <c r="D58" s="124" t="s">
        <v>228</v>
      </c>
      <c r="E58" s="124" t="s">
        <v>78</v>
      </c>
      <c r="F58" s="146" t="s">
        <v>225</v>
      </c>
      <c r="G58" s="127" t="s">
        <v>80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82</v>
      </c>
      <c r="C59" s="124" t="s">
        <v>219</v>
      </c>
      <c r="D59" s="124" t="s">
        <v>229</v>
      </c>
      <c r="E59" s="124" t="s">
        <v>78</v>
      </c>
      <c r="F59" s="146" t="s">
        <v>225</v>
      </c>
      <c r="G59" s="127" t="s">
        <v>80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230</v>
      </c>
      <c r="C60" s="124" t="s">
        <v>231</v>
      </c>
      <c r="D60" s="124" t="s">
        <v>232</v>
      </c>
      <c r="E60" s="124" t="s">
        <v>78</v>
      </c>
      <c r="F60" s="146" t="s">
        <v>233</v>
      </c>
      <c r="G60" s="127" t="s">
        <v>80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90</v>
      </c>
      <c r="C61" s="124" t="s">
        <v>223</v>
      </c>
      <c r="D61" s="124" t="s">
        <v>234</v>
      </c>
      <c r="E61" s="124" t="s">
        <v>78</v>
      </c>
      <c r="F61" s="146" t="s">
        <v>233</v>
      </c>
      <c r="G61" s="127" t="s">
        <v>80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82</v>
      </c>
      <c r="C62" s="124" t="s">
        <v>213</v>
      </c>
      <c r="D62" s="124" t="s">
        <v>235</v>
      </c>
      <c r="E62" s="124" t="s">
        <v>78</v>
      </c>
      <c r="F62" s="146" t="s">
        <v>233</v>
      </c>
      <c r="G62" s="127" t="s">
        <v>80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90</v>
      </c>
      <c r="C63" s="124" t="s">
        <v>236</v>
      </c>
      <c r="D63" s="124" t="s">
        <v>237</v>
      </c>
      <c r="E63" s="124" t="s">
        <v>78</v>
      </c>
      <c r="F63" s="146" t="s">
        <v>233</v>
      </c>
      <c r="G63" s="127" t="s">
        <v>80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82</v>
      </c>
      <c r="C64" s="124" t="s">
        <v>219</v>
      </c>
      <c r="D64" s="124" t="s">
        <v>238</v>
      </c>
      <c r="E64" s="124" t="s">
        <v>78</v>
      </c>
      <c r="F64" s="146" t="s">
        <v>233</v>
      </c>
      <c r="G64" s="127" t="s">
        <v>80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82</v>
      </c>
      <c r="C65" s="124" t="s">
        <v>219</v>
      </c>
      <c r="D65" s="124" t="s">
        <v>239</v>
      </c>
      <c r="E65" s="124" t="s">
        <v>78</v>
      </c>
      <c r="F65" s="146" t="s">
        <v>233</v>
      </c>
      <c r="G65" s="127" t="s">
        <v>80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82</v>
      </c>
      <c r="C66" s="124" t="s">
        <v>219</v>
      </c>
      <c r="D66" s="124" t="s">
        <v>240</v>
      </c>
      <c r="E66" s="124" t="s">
        <v>78</v>
      </c>
      <c r="F66" s="146" t="s">
        <v>233</v>
      </c>
      <c r="G66" s="127" t="s">
        <v>80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82</v>
      </c>
      <c r="C67" s="124" t="s">
        <v>241</v>
      </c>
      <c r="D67" s="124" t="s">
        <v>242</v>
      </c>
      <c r="E67" s="124" t="s">
        <v>78</v>
      </c>
      <c r="F67" s="146" t="s">
        <v>243</v>
      </c>
      <c r="G67" s="127" t="s">
        <v>80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244</v>
      </c>
      <c r="C68" s="124" t="s">
        <v>245</v>
      </c>
      <c r="D68" s="124" t="s">
        <v>246</v>
      </c>
      <c r="E68" s="124" t="s">
        <v>78</v>
      </c>
      <c r="F68" s="146" t="s">
        <v>243</v>
      </c>
      <c r="G68" s="127" t="s">
        <v>80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244</v>
      </c>
      <c r="C69" s="124" t="s">
        <v>247</v>
      </c>
      <c r="D69" s="124" t="s">
        <v>246</v>
      </c>
      <c r="E69" s="124" t="s">
        <v>78</v>
      </c>
      <c r="F69" s="146" t="s">
        <v>248</v>
      </c>
      <c r="G69" s="127" t="s">
        <v>80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244</v>
      </c>
      <c r="C70" s="124" t="s">
        <v>249</v>
      </c>
      <c r="D70" s="124" t="s">
        <v>250</v>
      </c>
      <c r="E70" s="124" t="s">
        <v>144</v>
      </c>
      <c r="F70" s="146" t="s">
        <v>251</v>
      </c>
      <c r="G70" s="127" t="s">
        <v>80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252</v>
      </c>
      <c r="C71" s="124" t="s">
        <v>213</v>
      </c>
      <c r="D71" s="124" t="s">
        <v>253</v>
      </c>
      <c r="E71" s="124" t="s">
        <v>78</v>
      </c>
      <c r="F71" s="146" t="s">
        <v>248</v>
      </c>
      <c r="G71" s="127" t="s">
        <v>80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90</v>
      </c>
      <c r="C72" s="124" t="s">
        <v>254</v>
      </c>
      <c r="D72" s="124" t="s">
        <v>255</v>
      </c>
      <c r="E72" s="124" t="s">
        <v>78</v>
      </c>
      <c r="F72" s="146" t="s">
        <v>248</v>
      </c>
      <c r="G72" s="127" t="s">
        <v>80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90</v>
      </c>
      <c r="C73" s="124" t="s">
        <v>256</v>
      </c>
      <c r="D73" s="124" t="s">
        <v>257</v>
      </c>
      <c r="E73" s="124" t="s">
        <v>78</v>
      </c>
      <c r="F73" s="146" t="s">
        <v>248</v>
      </c>
      <c r="G73" s="127" t="s">
        <v>80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82</v>
      </c>
      <c r="C74" s="124" t="s">
        <v>219</v>
      </c>
      <c r="D74" s="124" t="s">
        <v>258</v>
      </c>
      <c r="E74" s="124" t="s">
        <v>78</v>
      </c>
      <c r="F74" s="146" t="s">
        <v>248</v>
      </c>
      <c r="G74" s="127" t="s">
        <v>80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82</v>
      </c>
      <c r="C75" s="124" t="s">
        <v>219</v>
      </c>
      <c r="D75" s="124" t="s">
        <v>259</v>
      </c>
      <c r="E75" s="124" t="s">
        <v>78</v>
      </c>
      <c r="F75" s="146" t="s">
        <v>248</v>
      </c>
      <c r="G75" s="127" t="s">
        <v>80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82</v>
      </c>
      <c r="C76" s="124" t="s">
        <v>260</v>
      </c>
      <c r="D76" s="124" t="s">
        <v>261</v>
      </c>
      <c r="E76" s="124" t="s">
        <v>78</v>
      </c>
      <c r="F76" s="146" t="s">
        <v>262</v>
      </c>
      <c r="G76" s="127" t="s">
        <v>80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82</v>
      </c>
      <c r="C77" s="124" t="s">
        <v>263</v>
      </c>
      <c r="D77" s="124" t="s">
        <v>264</v>
      </c>
      <c r="E77" s="124" t="s">
        <v>78</v>
      </c>
      <c r="F77" s="146" t="s">
        <v>262</v>
      </c>
      <c r="G77" s="127" t="s">
        <v>80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90</v>
      </c>
      <c r="C78" s="124" t="s">
        <v>265</v>
      </c>
      <c r="D78" s="124" t="s">
        <v>266</v>
      </c>
      <c r="E78" s="124" t="s">
        <v>78</v>
      </c>
      <c r="F78" s="146" t="s">
        <v>267</v>
      </c>
      <c r="G78" s="127" t="s">
        <v>80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90</v>
      </c>
      <c r="C79" s="124" t="s">
        <v>268</v>
      </c>
      <c r="D79" s="124" t="s">
        <v>269</v>
      </c>
      <c r="E79" s="124" t="s">
        <v>78</v>
      </c>
      <c r="F79" s="146" t="s">
        <v>262</v>
      </c>
      <c r="G79" s="127" t="s">
        <v>80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110</v>
      </c>
      <c r="C80" s="124" t="s">
        <v>270</v>
      </c>
      <c r="D80" s="124" t="s">
        <v>271</v>
      </c>
      <c r="E80" s="124" t="s">
        <v>78</v>
      </c>
      <c r="F80" s="146" t="s">
        <v>267</v>
      </c>
      <c r="G80" s="127" t="s">
        <v>80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82</v>
      </c>
      <c r="C81" s="124" t="s">
        <v>272</v>
      </c>
      <c r="D81" s="124" t="s">
        <v>273</v>
      </c>
      <c r="E81" s="124" t="s">
        <v>78</v>
      </c>
      <c r="F81" s="146" t="s">
        <v>262</v>
      </c>
      <c r="G81" s="127" t="s">
        <v>80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252</v>
      </c>
      <c r="C82" s="124" t="s">
        <v>213</v>
      </c>
      <c r="D82" s="124" t="s">
        <v>274</v>
      </c>
      <c r="E82" s="124" t="s">
        <v>78</v>
      </c>
      <c r="F82" s="146" t="s">
        <v>262</v>
      </c>
      <c r="G82" s="127" t="s">
        <v>80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82</v>
      </c>
      <c r="C83" s="124" t="s">
        <v>219</v>
      </c>
      <c r="D83" s="124" t="s">
        <v>275</v>
      </c>
      <c r="E83" s="124" t="s">
        <v>78</v>
      </c>
      <c r="F83" s="146" t="s">
        <v>262</v>
      </c>
      <c r="G83" s="127" t="s">
        <v>80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82</v>
      </c>
      <c r="C84" s="124" t="s">
        <v>219</v>
      </c>
      <c r="D84" s="124" t="s">
        <v>276</v>
      </c>
      <c r="E84" s="124" t="s">
        <v>78</v>
      </c>
      <c r="F84" s="146" t="s">
        <v>262</v>
      </c>
      <c r="G84" s="127" t="s">
        <v>80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82</v>
      </c>
      <c r="C85" s="124" t="s">
        <v>219</v>
      </c>
      <c r="D85" s="124" t="s">
        <v>277</v>
      </c>
      <c r="E85" s="124" t="s">
        <v>78</v>
      </c>
      <c r="F85" s="146" t="s">
        <v>262</v>
      </c>
      <c r="G85" s="127" t="s">
        <v>80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82</v>
      </c>
      <c r="C86" s="124" t="s">
        <v>219</v>
      </c>
      <c r="D86" s="124" t="s">
        <v>278</v>
      </c>
      <c r="E86" s="124" t="s">
        <v>78</v>
      </c>
      <c r="F86" s="146" t="s">
        <v>262</v>
      </c>
      <c r="G86" s="127" t="s">
        <v>80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90</v>
      </c>
      <c r="C87" s="124" t="s">
        <v>279</v>
      </c>
      <c r="D87" s="124" t="s">
        <v>280</v>
      </c>
      <c r="E87" s="124" t="s">
        <v>78</v>
      </c>
      <c r="F87" s="146" t="s">
        <v>281</v>
      </c>
      <c r="G87" s="127" t="s">
        <v>80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90</v>
      </c>
      <c r="C88" s="124" t="s">
        <v>282</v>
      </c>
      <c r="D88" s="124" t="s">
        <v>283</v>
      </c>
      <c r="E88" s="124" t="s">
        <v>78</v>
      </c>
      <c r="F88" s="146" t="s">
        <v>281</v>
      </c>
      <c r="G88" s="127" t="s">
        <v>80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90</v>
      </c>
      <c r="C89" s="124" t="s">
        <v>284</v>
      </c>
      <c r="D89" s="124" t="s">
        <v>285</v>
      </c>
      <c r="E89" s="124" t="s">
        <v>78</v>
      </c>
      <c r="F89" s="146" t="s">
        <v>281</v>
      </c>
      <c r="G89" s="127" t="s">
        <v>80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126</v>
      </c>
      <c r="C90" s="124" t="s">
        <v>286</v>
      </c>
      <c r="D90" s="124" t="s">
        <v>287</v>
      </c>
      <c r="E90" s="124" t="s">
        <v>78</v>
      </c>
      <c r="F90" s="146" t="s">
        <v>281</v>
      </c>
      <c r="G90" s="127" t="s">
        <v>80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90</v>
      </c>
      <c r="C91" s="124" t="s">
        <v>288</v>
      </c>
      <c r="D91" s="124" t="s">
        <v>289</v>
      </c>
      <c r="E91" s="124" t="s">
        <v>78</v>
      </c>
      <c r="F91" s="146" t="s">
        <v>281</v>
      </c>
      <c r="G91" s="127" t="s">
        <v>80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110</v>
      </c>
      <c r="C92" s="124" t="s">
        <v>290</v>
      </c>
      <c r="D92" s="124" t="s">
        <v>291</v>
      </c>
      <c r="E92" s="124" t="s">
        <v>78</v>
      </c>
      <c r="F92" s="146" t="s">
        <v>281</v>
      </c>
      <c r="G92" s="127" t="s">
        <v>80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126</v>
      </c>
      <c r="C93" s="124" t="s">
        <v>292</v>
      </c>
      <c r="D93" s="124" t="s">
        <v>293</v>
      </c>
      <c r="E93" s="124" t="s">
        <v>78</v>
      </c>
      <c r="F93" s="146" t="s">
        <v>281</v>
      </c>
      <c r="G93" s="127" t="s">
        <v>80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90</v>
      </c>
      <c r="C94" s="124" t="s">
        <v>294</v>
      </c>
      <c r="D94" s="124" t="s">
        <v>295</v>
      </c>
      <c r="E94" s="124" t="s">
        <v>78</v>
      </c>
      <c r="F94" s="146" t="s">
        <v>281</v>
      </c>
      <c r="G94" s="127" t="s">
        <v>80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90</v>
      </c>
      <c r="C95" s="124" t="s">
        <v>296</v>
      </c>
      <c r="D95" s="124" t="s">
        <v>297</v>
      </c>
      <c r="E95" s="124" t="s">
        <v>78</v>
      </c>
      <c r="F95" s="146" t="s">
        <v>281</v>
      </c>
      <c r="G95" s="127" t="s">
        <v>80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90</v>
      </c>
      <c r="C96" s="124" t="s">
        <v>298</v>
      </c>
      <c r="D96" s="124" t="s">
        <v>299</v>
      </c>
      <c r="E96" s="124" t="s">
        <v>78</v>
      </c>
      <c r="F96" s="146" t="s">
        <v>281</v>
      </c>
      <c r="G96" s="127" t="s">
        <v>80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300</v>
      </c>
      <c r="C97" s="124" t="s">
        <v>301</v>
      </c>
      <c r="D97" s="124" t="s">
        <v>302</v>
      </c>
      <c r="E97" s="124" t="s">
        <v>78</v>
      </c>
      <c r="F97" s="146" t="s">
        <v>281</v>
      </c>
      <c r="G97" s="127" t="s">
        <v>80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90</v>
      </c>
      <c r="C98" s="124" t="s">
        <v>303</v>
      </c>
      <c r="D98" s="124" t="s">
        <v>304</v>
      </c>
      <c r="E98" s="124" t="s">
        <v>78</v>
      </c>
      <c r="F98" s="146" t="s">
        <v>305</v>
      </c>
      <c r="G98" s="127" t="s">
        <v>80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244</v>
      </c>
      <c r="C99" s="124" t="s">
        <v>306</v>
      </c>
      <c r="D99" s="124" t="s">
        <v>307</v>
      </c>
      <c r="E99" s="124" t="s">
        <v>78</v>
      </c>
      <c r="F99" s="146" t="s">
        <v>308</v>
      </c>
      <c r="G99" s="127" t="s">
        <v>80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126</v>
      </c>
      <c r="C100" s="124" t="s">
        <v>309</v>
      </c>
      <c r="D100" s="124" t="s">
        <v>310</v>
      </c>
      <c r="E100" s="124" t="s">
        <v>78</v>
      </c>
      <c r="F100" s="146" t="s">
        <v>305</v>
      </c>
      <c r="G100" s="127" t="s">
        <v>80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126</v>
      </c>
      <c r="C101" s="124" t="s">
        <v>309</v>
      </c>
      <c r="D101" s="124" t="s">
        <v>311</v>
      </c>
      <c r="E101" s="124" t="s">
        <v>78</v>
      </c>
      <c r="F101" s="146" t="s">
        <v>305</v>
      </c>
      <c r="G101" s="127" t="s">
        <v>80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126</v>
      </c>
      <c r="C102" s="124" t="s">
        <v>312</v>
      </c>
      <c r="D102" s="124" t="s">
        <v>313</v>
      </c>
      <c r="E102" s="124"/>
      <c r="F102" s="146" t="s">
        <v>305</v>
      </c>
      <c r="G102" s="127" t="s">
        <v>80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314</v>
      </c>
      <c r="C103" s="124" t="s">
        <v>315</v>
      </c>
      <c r="D103" s="124" t="s">
        <v>316</v>
      </c>
      <c r="E103" s="124" t="s">
        <v>144</v>
      </c>
      <c r="F103" s="146" t="s">
        <v>317</v>
      </c>
      <c r="G103" s="127" t="s">
        <v>80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314</v>
      </c>
      <c r="C104" s="124" t="s">
        <v>315</v>
      </c>
      <c r="D104" s="124" t="s">
        <v>318</v>
      </c>
      <c r="E104" s="124" t="s">
        <v>144</v>
      </c>
      <c r="F104" s="146" t="s">
        <v>319</v>
      </c>
      <c r="G104" s="127" t="s">
        <v>80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244</v>
      </c>
      <c r="C105" s="124" t="s">
        <v>320</v>
      </c>
      <c r="D105" s="124" t="s">
        <v>321</v>
      </c>
      <c r="E105" s="124" t="s">
        <v>144</v>
      </c>
      <c r="F105" s="146" t="s">
        <v>308</v>
      </c>
      <c r="G105" s="127" t="s">
        <v>80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244</v>
      </c>
      <c r="C106" s="124" t="s">
        <v>322</v>
      </c>
      <c r="D106" s="124" t="s">
        <v>323</v>
      </c>
      <c r="E106" s="124" t="s">
        <v>144</v>
      </c>
      <c r="F106" s="146" t="s">
        <v>324</v>
      </c>
      <c r="G106" s="127" t="s">
        <v>80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126</v>
      </c>
      <c r="C107" s="124" t="s">
        <v>223</v>
      </c>
      <c r="D107" s="124" t="s">
        <v>325</v>
      </c>
      <c r="E107" s="124" t="s">
        <v>78</v>
      </c>
      <c r="F107" s="146" t="s">
        <v>305</v>
      </c>
      <c r="G107" s="127" t="s">
        <v>80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90</v>
      </c>
      <c r="C108" s="124" t="s">
        <v>326</v>
      </c>
      <c r="D108" s="124" t="s">
        <v>327</v>
      </c>
      <c r="E108" s="124" t="s">
        <v>328</v>
      </c>
      <c r="F108" s="146" t="s">
        <v>329</v>
      </c>
      <c r="G108" s="127" t="s">
        <v>80</v>
      </c>
      <c r="H108" s="134">
        <v>6750000</v>
      </c>
      <c r="I108" s="135"/>
      <c r="J108" s="124" t="s">
        <v>330</v>
      </c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331</v>
      </c>
      <c r="C109" s="124" t="s">
        <v>332</v>
      </c>
      <c r="D109" s="124" t="s">
        <v>333</v>
      </c>
      <c r="E109" s="124" t="s">
        <v>78</v>
      </c>
      <c r="F109" s="146" t="s">
        <v>308</v>
      </c>
      <c r="G109" s="127" t="s">
        <v>80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90</v>
      </c>
      <c r="C110" s="124" t="s">
        <v>334</v>
      </c>
      <c r="D110" s="124" t="s">
        <v>335</v>
      </c>
      <c r="E110" s="124" t="s">
        <v>78</v>
      </c>
      <c r="F110" s="146" t="s">
        <v>308</v>
      </c>
      <c r="G110" s="127" t="s">
        <v>80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90</v>
      </c>
      <c r="C111" s="124" t="s">
        <v>336</v>
      </c>
      <c r="D111" s="124" t="s">
        <v>337</v>
      </c>
      <c r="E111" s="124" t="s">
        <v>78</v>
      </c>
      <c r="F111" s="146" t="s">
        <v>308</v>
      </c>
      <c r="G111" s="127" t="s">
        <v>80</v>
      </c>
      <c r="H111" s="134">
        <v>0</v>
      </c>
      <c r="I111" s="135"/>
      <c r="J111" s="124" t="s">
        <v>338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90</v>
      </c>
      <c r="C112" s="124" t="s">
        <v>294</v>
      </c>
      <c r="D112" s="124" t="s">
        <v>339</v>
      </c>
      <c r="E112" s="124" t="s">
        <v>78</v>
      </c>
      <c r="F112" s="146" t="s">
        <v>308</v>
      </c>
      <c r="G112" s="127" t="s">
        <v>80</v>
      </c>
      <c r="H112" s="134">
        <v>546600</v>
      </c>
      <c r="I112" s="135"/>
      <c r="J112" s="124" t="s">
        <v>340</v>
      </c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90</v>
      </c>
      <c r="C113" s="124" t="s">
        <v>326</v>
      </c>
      <c r="D113" s="124" t="s">
        <v>341</v>
      </c>
      <c r="E113" s="124" t="s">
        <v>328</v>
      </c>
      <c r="F113" s="146" t="s">
        <v>342</v>
      </c>
      <c r="G113" s="127" t="s">
        <v>80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90</v>
      </c>
      <c r="C114" s="124" t="s">
        <v>343</v>
      </c>
      <c r="D114" s="124" t="s">
        <v>344</v>
      </c>
      <c r="E114" s="124" t="s">
        <v>144</v>
      </c>
      <c r="F114" s="146" t="s">
        <v>342</v>
      </c>
      <c r="G114" s="127" t="s">
        <v>80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90</v>
      </c>
      <c r="C115" s="124" t="s">
        <v>343</v>
      </c>
      <c r="D115" s="124" t="s">
        <v>345</v>
      </c>
      <c r="E115" s="124" t="s">
        <v>144</v>
      </c>
      <c r="F115" s="146" t="s">
        <v>346</v>
      </c>
      <c r="G115" s="127" t="s">
        <v>80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90</v>
      </c>
      <c r="C116" s="124" t="s">
        <v>343</v>
      </c>
      <c r="D116" s="124" t="s">
        <v>347</v>
      </c>
      <c r="E116" s="124" t="s">
        <v>144</v>
      </c>
      <c r="F116" s="146" t="s">
        <v>348</v>
      </c>
      <c r="G116" s="127" t="s">
        <v>80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90</v>
      </c>
      <c r="C117" s="124" t="s">
        <v>349</v>
      </c>
      <c r="D117" s="124" t="s">
        <v>350</v>
      </c>
      <c r="E117" s="124" t="s">
        <v>144</v>
      </c>
      <c r="F117" s="146" t="s">
        <v>351</v>
      </c>
      <c r="G117" s="127" t="s">
        <v>80</v>
      </c>
      <c r="H117" s="134">
        <v>25000000</v>
      </c>
      <c r="I117" s="189" t="s">
        <v>51</v>
      </c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352</v>
      </c>
      <c r="C118" s="124" t="s">
        <v>353</v>
      </c>
      <c r="D118" s="124" t="s">
        <v>354</v>
      </c>
      <c r="E118" s="124" t="s">
        <v>78</v>
      </c>
      <c r="F118" s="146" t="s">
        <v>308</v>
      </c>
      <c r="G118" s="127" t="s">
        <v>80</v>
      </c>
      <c r="H118" s="134">
        <v>1700000</v>
      </c>
      <c r="I118" s="190" t="s">
        <v>51</v>
      </c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331</v>
      </c>
      <c r="C119" s="124" t="s">
        <v>355</v>
      </c>
      <c r="D119" s="124" t="s">
        <v>356</v>
      </c>
      <c r="E119" s="124" t="s">
        <v>78</v>
      </c>
      <c r="F119" s="146" t="s">
        <v>308</v>
      </c>
      <c r="G119" s="127" t="s">
        <v>80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357</v>
      </c>
      <c r="C120" s="124" t="s">
        <v>358</v>
      </c>
      <c r="D120" s="124" t="s">
        <v>359</v>
      </c>
      <c r="E120" s="124" t="s">
        <v>78</v>
      </c>
      <c r="F120" s="146" t="s">
        <v>317</v>
      </c>
      <c r="G120" s="127" t="s">
        <v>80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357</v>
      </c>
      <c r="C121" s="124" t="s">
        <v>360</v>
      </c>
      <c r="D121" s="124" t="s">
        <v>361</v>
      </c>
      <c r="E121" s="124" t="s">
        <v>78</v>
      </c>
      <c r="F121" s="146" t="s">
        <v>317</v>
      </c>
      <c r="G121" s="127" t="s">
        <v>80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357</v>
      </c>
      <c r="C122" s="124" t="s">
        <v>362</v>
      </c>
      <c r="D122" s="124" t="s">
        <v>363</v>
      </c>
      <c r="E122" s="124" t="s">
        <v>78</v>
      </c>
      <c r="F122" s="146" t="s">
        <v>364</v>
      </c>
      <c r="G122" s="127" t="s">
        <v>80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357</v>
      </c>
      <c r="C123" s="124" t="s">
        <v>365</v>
      </c>
      <c r="D123" s="124" t="s">
        <v>366</v>
      </c>
      <c r="E123" s="124" t="s">
        <v>78</v>
      </c>
      <c r="F123" s="146" t="s">
        <v>364</v>
      </c>
      <c r="G123" s="127" t="s">
        <v>80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314</v>
      </c>
      <c r="C124" s="124" t="s">
        <v>367</v>
      </c>
      <c r="D124" s="124" t="s">
        <v>368</v>
      </c>
      <c r="E124" s="124" t="s">
        <v>78</v>
      </c>
      <c r="F124" s="146" t="s">
        <v>317</v>
      </c>
      <c r="G124" s="127" t="s">
        <v>80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173</v>
      </c>
      <c r="C125" s="124" t="s">
        <v>369</v>
      </c>
      <c r="D125" s="124" t="s">
        <v>370</v>
      </c>
      <c r="E125" s="124" t="s">
        <v>78</v>
      </c>
      <c r="F125" s="146" t="s">
        <v>317</v>
      </c>
      <c r="G125" s="127" t="s">
        <v>80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173</v>
      </c>
      <c r="C126" s="124" t="s">
        <v>371</v>
      </c>
      <c r="D126" s="124" t="s">
        <v>372</v>
      </c>
      <c r="E126" s="124" t="s">
        <v>78</v>
      </c>
      <c r="F126" s="146" t="s">
        <v>373</v>
      </c>
      <c r="G126" s="127" t="s">
        <v>80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331</v>
      </c>
      <c r="C127" s="124" t="s">
        <v>374</v>
      </c>
      <c r="D127" s="124" t="s">
        <v>375</v>
      </c>
      <c r="E127" s="124" t="s">
        <v>78</v>
      </c>
      <c r="F127" s="146" t="s">
        <v>376</v>
      </c>
      <c r="G127" s="127" t="s">
        <v>80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90</v>
      </c>
      <c r="C128" s="124" t="s">
        <v>294</v>
      </c>
      <c r="D128" s="124" t="s">
        <v>377</v>
      </c>
      <c r="E128" s="124" t="s">
        <v>78</v>
      </c>
      <c r="F128" s="146" t="s">
        <v>373</v>
      </c>
      <c r="G128" s="127" t="s">
        <v>80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126</v>
      </c>
      <c r="C129" s="124" t="s">
        <v>378</v>
      </c>
      <c r="D129" s="124" t="s">
        <v>379</v>
      </c>
      <c r="E129" s="124" t="s">
        <v>78</v>
      </c>
      <c r="F129" s="146" t="s">
        <v>376</v>
      </c>
      <c r="G129" s="127" t="s">
        <v>80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126</v>
      </c>
      <c r="C130" s="124" t="s">
        <v>380</v>
      </c>
      <c r="D130" s="124" t="s">
        <v>381</v>
      </c>
      <c r="E130" s="124" t="s">
        <v>78</v>
      </c>
      <c r="F130" s="146" t="s">
        <v>382</v>
      </c>
      <c r="G130" s="127" t="s">
        <v>80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244</v>
      </c>
      <c r="C131" s="124" t="s">
        <v>383</v>
      </c>
      <c r="D131" s="124" t="s">
        <v>384</v>
      </c>
      <c r="E131" s="124" t="s">
        <v>78</v>
      </c>
      <c r="F131" s="146" t="s">
        <v>385</v>
      </c>
      <c r="G131" s="127" t="s">
        <v>80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244</v>
      </c>
      <c r="C132" s="124" t="s">
        <v>386</v>
      </c>
      <c r="D132" s="124" t="s">
        <v>387</v>
      </c>
      <c r="E132" s="124" t="s">
        <v>144</v>
      </c>
      <c r="F132" s="146" t="s">
        <v>388</v>
      </c>
      <c r="G132" s="127" t="s">
        <v>80</v>
      </c>
      <c r="H132" s="134">
        <v>450000000</v>
      </c>
      <c r="I132" s="135"/>
      <c r="J132" s="124" t="s">
        <v>389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357</v>
      </c>
      <c r="C133" s="124" t="s">
        <v>390</v>
      </c>
      <c r="D133" s="124" t="s">
        <v>391</v>
      </c>
      <c r="E133" s="124" t="s">
        <v>78</v>
      </c>
      <c r="F133" s="146" t="s">
        <v>382</v>
      </c>
      <c r="G133" s="127" t="s">
        <v>80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357</v>
      </c>
      <c r="C134" s="124" t="s">
        <v>392</v>
      </c>
      <c r="D134" s="124" t="s">
        <v>393</v>
      </c>
      <c r="E134" s="124" t="s">
        <v>78</v>
      </c>
      <c r="F134" s="146" t="s">
        <v>382</v>
      </c>
      <c r="G134" s="127" t="s">
        <v>80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357</v>
      </c>
      <c r="C135" s="124" t="s">
        <v>394</v>
      </c>
      <c r="D135" s="124" t="s">
        <v>395</v>
      </c>
      <c r="E135" s="124" t="s">
        <v>78</v>
      </c>
      <c r="F135" s="146" t="s">
        <v>382</v>
      </c>
      <c r="G135" s="127" t="s">
        <v>80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314</v>
      </c>
      <c r="C136" s="124" t="s">
        <v>396</v>
      </c>
      <c r="D136" s="124" t="s">
        <v>397</v>
      </c>
      <c r="E136" s="124" t="s">
        <v>78</v>
      </c>
      <c r="F136" s="146" t="s">
        <v>382</v>
      </c>
      <c r="G136" s="127" t="s">
        <v>80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398</v>
      </c>
      <c r="C137" s="124" t="s">
        <v>213</v>
      </c>
      <c r="D137" s="124" t="s">
        <v>399</v>
      </c>
      <c r="E137" s="124" t="s">
        <v>78</v>
      </c>
      <c r="F137" s="146" t="s">
        <v>400</v>
      </c>
      <c r="G137" s="127" t="s">
        <v>80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398</v>
      </c>
      <c r="C138" s="124" t="s">
        <v>209</v>
      </c>
      <c r="D138" s="124" t="s">
        <v>401</v>
      </c>
      <c r="E138" s="124" t="s">
        <v>78</v>
      </c>
      <c r="F138" s="146" t="s">
        <v>400</v>
      </c>
      <c r="G138" s="127" t="s">
        <v>80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398</v>
      </c>
      <c r="C139" s="124" t="s">
        <v>402</v>
      </c>
      <c r="D139" s="124" t="s">
        <v>403</v>
      </c>
      <c r="E139" s="124" t="s">
        <v>78</v>
      </c>
      <c r="F139" s="146" t="s">
        <v>400</v>
      </c>
      <c r="G139" s="127" t="s">
        <v>80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398</v>
      </c>
      <c r="C140" s="124" t="s">
        <v>402</v>
      </c>
      <c r="D140" s="124" t="s">
        <v>404</v>
      </c>
      <c r="E140" s="124" t="s">
        <v>78</v>
      </c>
      <c r="F140" s="146" t="s">
        <v>400</v>
      </c>
      <c r="G140" s="127" t="s">
        <v>80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398</v>
      </c>
      <c r="C141" s="124" t="s">
        <v>405</v>
      </c>
      <c r="D141" s="124" t="s">
        <v>406</v>
      </c>
      <c r="E141" s="124" t="s">
        <v>78</v>
      </c>
      <c r="F141" s="146" t="s">
        <v>400</v>
      </c>
      <c r="G141" s="127" t="s">
        <v>80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398</v>
      </c>
      <c r="C142" s="124" t="s">
        <v>407</v>
      </c>
      <c r="D142" s="124" t="s">
        <v>408</v>
      </c>
      <c r="E142" s="124" t="s">
        <v>78</v>
      </c>
      <c r="F142" s="146" t="s">
        <v>400</v>
      </c>
      <c r="G142" s="127" t="s">
        <v>80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398</v>
      </c>
      <c r="C143" s="124" t="s">
        <v>219</v>
      </c>
      <c r="D143" s="124" t="s">
        <v>409</v>
      </c>
      <c r="E143" s="124" t="s">
        <v>78</v>
      </c>
      <c r="F143" s="146" t="s">
        <v>400</v>
      </c>
      <c r="G143" s="127" t="s">
        <v>80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398</v>
      </c>
      <c r="C144" s="124" t="s">
        <v>219</v>
      </c>
      <c r="D144" s="124" t="s">
        <v>410</v>
      </c>
      <c r="E144" s="124" t="s">
        <v>78</v>
      </c>
      <c r="F144" s="146" t="s">
        <v>400</v>
      </c>
      <c r="G144" s="127" t="s">
        <v>80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411</v>
      </c>
      <c r="C145" s="124" t="s">
        <v>412</v>
      </c>
      <c r="D145" s="124" t="s">
        <v>413</v>
      </c>
      <c r="E145" s="124" t="s">
        <v>144</v>
      </c>
      <c r="F145" s="146" t="s">
        <v>414</v>
      </c>
      <c r="G145" s="127" t="s">
        <v>80</v>
      </c>
      <c r="H145" s="134">
        <v>26000000</v>
      </c>
      <c r="I145" s="135"/>
      <c r="J145" s="124" t="s">
        <v>415</v>
      </c>
      <c r="K145" s="134" t="s">
        <v>416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411</v>
      </c>
      <c r="C146" s="124" t="s">
        <v>412</v>
      </c>
      <c r="D146" s="124" t="s">
        <v>417</v>
      </c>
      <c r="E146" s="124" t="s">
        <v>144</v>
      </c>
      <c r="F146" s="146" t="s">
        <v>418</v>
      </c>
      <c r="G146" s="127" t="s">
        <v>80</v>
      </c>
      <c r="H146" s="134">
        <v>26000000</v>
      </c>
      <c r="I146" s="135"/>
      <c r="J146" s="124" t="s">
        <v>419</v>
      </c>
      <c r="K146" s="134" t="s">
        <v>420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398</v>
      </c>
      <c r="C147" s="124" t="s">
        <v>213</v>
      </c>
      <c r="D147" s="124" t="s">
        <v>421</v>
      </c>
      <c r="E147" s="124" t="s">
        <v>78</v>
      </c>
      <c r="F147" s="146" t="s">
        <v>422</v>
      </c>
      <c r="G147" s="127" t="s">
        <v>80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423</v>
      </c>
      <c r="C148" s="124" t="s">
        <v>424</v>
      </c>
      <c r="D148" s="124" t="s">
        <v>425</v>
      </c>
      <c r="E148" s="124" t="s">
        <v>78</v>
      </c>
      <c r="F148" s="146" t="s">
        <v>422</v>
      </c>
      <c r="G148" s="127" t="s">
        <v>80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90</v>
      </c>
      <c r="C149" s="124" t="s">
        <v>201</v>
      </c>
      <c r="D149" s="124" t="s">
        <v>426</v>
      </c>
      <c r="E149" s="124" t="s">
        <v>78</v>
      </c>
      <c r="F149" s="146" t="s">
        <v>422</v>
      </c>
      <c r="G149" s="127" t="s">
        <v>80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423</v>
      </c>
      <c r="C150" s="124" t="s">
        <v>427</v>
      </c>
      <c r="D150" s="124" t="s">
        <v>428</v>
      </c>
      <c r="E150" s="124" t="s">
        <v>144</v>
      </c>
      <c r="F150" s="146" t="s">
        <v>429</v>
      </c>
      <c r="G150" s="127" t="s">
        <v>80</v>
      </c>
      <c r="H150" s="134">
        <v>38100000</v>
      </c>
      <c r="I150" s="135"/>
      <c r="J150" s="124" t="s">
        <v>430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90</v>
      </c>
      <c r="C151" s="124" t="s">
        <v>431</v>
      </c>
      <c r="D151" s="124" t="s">
        <v>432</v>
      </c>
      <c r="E151" s="124" t="s">
        <v>78</v>
      </c>
      <c r="F151" s="146" t="s">
        <v>422</v>
      </c>
      <c r="G151" s="127" t="s">
        <v>80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252</v>
      </c>
      <c r="C152" s="124" t="s">
        <v>219</v>
      </c>
      <c r="D152" s="124" t="s">
        <v>433</v>
      </c>
      <c r="E152" s="124" t="s">
        <v>78</v>
      </c>
      <c r="F152" s="146" t="s">
        <v>434</v>
      </c>
      <c r="G152" s="127" t="s">
        <v>80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411</v>
      </c>
      <c r="C153" s="124" t="s">
        <v>435</v>
      </c>
      <c r="D153" s="124" t="s">
        <v>436</v>
      </c>
      <c r="E153" s="124" t="s">
        <v>78</v>
      </c>
      <c r="F153" s="146" t="s">
        <v>434</v>
      </c>
      <c r="G153" s="127" t="s">
        <v>80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126</v>
      </c>
      <c r="C154" s="124" t="s">
        <v>437</v>
      </c>
      <c r="D154" s="124" t="s">
        <v>438</v>
      </c>
      <c r="E154" s="124" t="s">
        <v>78</v>
      </c>
      <c r="F154" s="146" t="s">
        <v>382</v>
      </c>
      <c r="G154" s="127" t="s">
        <v>80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126</v>
      </c>
      <c r="C155" s="124" t="s">
        <v>439</v>
      </c>
      <c r="D155" s="124" t="s">
        <v>440</v>
      </c>
      <c r="E155" s="124" t="s">
        <v>78</v>
      </c>
      <c r="F155" s="146" t="s">
        <v>382</v>
      </c>
      <c r="G155" s="127" t="s">
        <v>80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252</v>
      </c>
      <c r="C156" s="124" t="s">
        <v>219</v>
      </c>
      <c r="D156" s="124" t="s">
        <v>441</v>
      </c>
      <c r="E156" s="124" t="s">
        <v>78</v>
      </c>
      <c r="F156" s="146" t="s">
        <v>442</v>
      </c>
      <c r="G156" s="127" t="s">
        <v>80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423</v>
      </c>
      <c r="C157" s="124" t="s">
        <v>443</v>
      </c>
      <c r="D157" s="124" t="s">
        <v>444</v>
      </c>
      <c r="E157" s="124" t="s">
        <v>78</v>
      </c>
      <c r="F157" s="146" t="s">
        <v>442</v>
      </c>
      <c r="G157" s="127" t="s">
        <v>80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423</v>
      </c>
      <c r="C158" s="124" t="s">
        <v>443</v>
      </c>
      <c r="D158" s="124" t="s">
        <v>445</v>
      </c>
      <c r="E158" s="124" t="s">
        <v>78</v>
      </c>
      <c r="F158" s="146" t="s">
        <v>442</v>
      </c>
      <c r="G158" s="127" t="s">
        <v>80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252</v>
      </c>
      <c r="C159" s="124" t="s">
        <v>219</v>
      </c>
      <c r="D159" s="124" t="s">
        <v>446</v>
      </c>
      <c r="E159" s="124" t="s">
        <v>78</v>
      </c>
      <c r="F159" s="146" t="s">
        <v>442</v>
      </c>
      <c r="G159" s="127" t="s">
        <v>80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252</v>
      </c>
      <c r="C160" s="124" t="s">
        <v>213</v>
      </c>
      <c r="D160" s="124" t="s">
        <v>447</v>
      </c>
      <c r="E160" s="124" t="s">
        <v>78</v>
      </c>
      <c r="F160" s="146" t="s">
        <v>442</v>
      </c>
      <c r="G160" s="127" t="s">
        <v>80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252</v>
      </c>
      <c r="C161" s="124" t="s">
        <v>213</v>
      </c>
      <c r="D161" s="124" t="s">
        <v>447</v>
      </c>
      <c r="E161" s="124" t="s">
        <v>78</v>
      </c>
      <c r="F161" s="146" t="s">
        <v>442</v>
      </c>
      <c r="G161" s="127" t="s">
        <v>80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90</v>
      </c>
      <c r="C162" s="124" t="s">
        <v>448</v>
      </c>
      <c r="D162" s="124" t="s">
        <v>449</v>
      </c>
      <c r="E162" s="124" t="s">
        <v>78</v>
      </c>
      <c r="F162" s="146" t="s">
        <v>442</v>
      </c>
      <c r="G162" s="127" t="s">
        <v>80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252</v>
      </c>
      <c r="C163" s="124" t="s">
        <v>394</v>
      </c>
      <c r="D163" s="124" t="s">
        <v>450</v>
      </c>
      <c r="E163" s="124" t="s">
        <v>78</v>
      </c>
      <c r="F163" s="146" t="s">
        <v>442</v>
      </c>
      <c r="G163" s="127" t="s">
        <v>80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90</v>
      </c>
      <c r="C164" s="124" t="s">
        <v>451</v>
      </c>
      <c r="D164" s="124" t="s">
        <v>452</v>
      </c>
      <c r="E164" s="124" t="s">
        <v>78</v>
      </c>
      <c r="F164" s="146" t="s">
        <v>324</v>
      </c>
      <c r="G164" s="127" t="s">
        <v>80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230</v>
      </c>
      <c r="C165" s="124" t="s">
        <v>453</v>
      </c>
      <c r="D165" s="124" t="s">
        <v>454</v>
      </c>
      <c r="E165" s="124" t="s">
        <v>78</v>
      </c>
      <c r="F165" s="146" t="s">
        <v>3</v>
      </c>
      <c r="G165" s="127" t="s">
        <v>80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252</v>
      </c>
      <c r="C166" s="124" t="s">
        <v>213</v>
      </c>
      <c r="D166" s="124" t="s">
        <v>455</v>
      </c>
      <c r="E166" s="124" t="s">
        <v>78</v>
      </c>
      <c r="F166" s="146" t="s">
        <v>3</v>
      </c>
      <c r="G166" s="127" t="s">
        <v>80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252</v>
      </c>
      <c r="C167" s="124" t="s">
        <v>219</v>
      </c>
      <c r="D167" s="124" t="s">
        <v>433</v>
      </c>
      <c r="E167" s="124" t="s">
        <v>78</v>
      </c>
      <c r="F167" s="146" t="s">
        <v>456</v>
      </c>
      <c r="G167" s="127" t="s">
        <v>80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252</v>
      </c>
      <c r="C168" s="124" t="s">
        <v>219</v>
      </c>
      <c r="D168" s="124" t="s">
        <v>457</v>
      </c>
      <c r="E168" s="124" t="s">
        <v>78</v>
      </c>
      <c r="F168" s="146" t="s">
        <v>458</v>
      </c>
      <c r="G168" s="127" t="s">
        <v>80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398</v>
      </c>
      <c r="C169" s="124" t="s">
        <v>459</v>
      </c>
      <c r="D169" s="124" t="s">
        <v>460</v>
      </c>
      <c r="E169" s="124" t="s">
        <v>78</v>
      </c>
      <c r="F169" s="146" t="s">
        <v>3</v>
      </c>
      <c r="G169" s="127" t="s">
        <v>80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90</v>
      </c>
      <c r="C170" s="124" t="s">
        <v>461</v>
      </c>
      <c r="D170" s="124" t="s">
        <v>462</v>
      </c>
      <c r="E170" s="124" t="s">
        <v>78</v>
      </c>
      <c r="F170" s="146" t="s">
        <v>3</v>
      </c>
      <c r="G170" s="127" t="s">
        <v>80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252</v>
      </c>
      <c r="C171" s="124" t="s">
        <v>213</v>
      </c>
      <c r="D171" s="124" t="s">
        <v>463</v>
      </c>
      <c r="E171" s="124" t="s">
        <v>78</v>
      </c>
      <c r="F171" s="146" t="s">
        <v>456</v>
      </c>
      <c r="G171" s="127" t="s">
        <v>80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252</v>
      </c>
      <c r="C172" s="124" t="s">
        <v>219</v>
      </c>
      <c r="D172" s="124" t="s">
        <v>464</v>
      </c>
      <c r="E172" s="124" t="s">
        <v>78</v>
      </c>
      <c r="F172" s="146" t="s">
        <v>456</v>
      </c>
      <c r="G172" s="127" t="s">
        <v>80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252</v>
      </c>
      <c r="C173" s="124" t="s">
        <v>219</v>
      </c>
      <c r="D173" s="124" t="s">
        <v>465</v>
      </c>
      <c r="E173" s="124" t="s">
        <v>78</v>
      </c>
      <c r="F173" s="146" t="s">
        <v>456</v>
      </c>
      <c r="G173" s="127" t="s">
        <v>80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252</v>
      </c>
      <c r="C174" s="124" t="s">
        <v>466</v>
      </c>
      <c r="D174" s="124" t="s">
        <v>467</v>
      </c>
      <c r="E174" s="124" t="s">
        <v>78</v>
      </c>
      <c r="F174" s="146" t="s">
        <v>456</v>
      </c>
      <c r="G174" s="127" t="s">
        <v>80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468</v>
      </c>
      <c r="C175" s="124" t="s">
        <v>469</v>
      </c>
      <c r="D175" s="124" t="s">
        <v>470</v>
      </c>
      <c r="E175" s="124" t="s">
        <v>144</v>
      </c>
      <c r="F175" s="146" t="s">
        <v>36</v>
      </c>
      <c r="G175" s="127" t="s">
        <v>80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468</v>
      </c>
      <c r="C176" s="124" t="s">
        <v>471</v>
      </c>
      <c r="D176" s="124" t="s">
        <v>472</v>
      </c>
      <c r="E176" s="124" t="s">
        <v>78</v>
      </c>
      <c r="F176" s="146" t="s">
        <v>456</v>
      </c>
      <c r="G176" s="127" t="s">
        <v>80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252</v>
      </c>
      <c r="C177" s="124" t="s">
        <v>184</v>
      </c>
      <c r="D177" s="124" t="s">
        <v>473</v>
      </c>
      <c r="E177" s="124" t="s">
        <v>78</v>
      </c>
      <c r="F177" s="146" t="s">
        <v>456</v>
      </c>
      <c r="G177" s="127" t="s">
        <v>80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90</v>
      </c>
      <c r="C178" s="124" t="s">
        <v>474</v>
      </c>
      <c r="D178" s="124" t="s">
        <v>475</v>
      </c>
      <c r="E178" s="124" t="s">
        <v>78</v>
      </c>
      <c r="F178" s="146" t="s">
        <v>476</v>
      </c>
      <c r="G178" s="127" t="s">
        <v>80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90</v>
      </c>
      <c r="C179" s="124" t="s">
        <v>477</v>
      </c>
      <c r="D179" s="124" t="s">
        <v>478</v>
      </c>
      <c r="E179" s="124" t="s">
        <v>78</v>
      </c>
      <c r="F179" s="146" t="s">
        <v>18</v>
      </c>
      <c r="G179" s="127" t="s">
        <v>80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244</v>
      </c>
      <c r="C180" s="124" t="s">
        <v>479</v>
      </c>
      <c r="D180" s="124" t="s">
        <v>480</v>
      </c>
      <c r="E180" s="124" t="s">
        <v>144</v>
      </c>
      <c r="F180" s="146" t="s">
        <v>481</v>
      </c>
      <c r="G180" s="127" t="s">
        <v>80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75</v>
      </c>
      <c r="C181" s="124" t="s">
        <v>482</v>
      </c>
      <c r="D181" s="124" t="s">
        <v>483</v>
      </c>
      <c r="E181" s="124" t="s">
        <v>484</v>
      </c>
      <c r="F181" s="146" t="s">
        <v>54</v>
      </c>
      <c r="G181" s="127" t="s">
        <v>80</v>
      </c>
      <c r="H181" s="134">
        <v>0</v>
      </c>
      <c r="I181" s="135"/>
      <c r="J181" s="124" t="s">
        <v>485</v>
      </c>
      <c r="K181" s="134" t="s">
        <v>486</v>
      </c>
      <c r="L181" s="151" t="s">
        <v>487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126</v>
      </c>
      <c r="C182" s="124" t="s">
        <v>488</v>
      </c>
      <c r="D182" s="124" t="s">
        <v>489</v>
      </c>
      <c r="E182" s="124" t="s">
        <v>78</v>
      </c>
      <c r="F182" s="146" t="s">
        <v>18</v>
      </c>
      <c r="G182" s="127" t="s">
        <v>80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126</v>
      </c>
      <c r="C183" s="124" t="s">
        <v>488</v>
      </c>
      <c r="D183" s="124" t="s">
        <v>490</v>
      </c>
      <c r="E183" s="124" t="s">
        <v>78</v>
      </c>
      <c r="F183" s="146" t="s">
        <v>18</v>
      </c>
      <c r="G183" s="127" t="s">
        <v>80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126</v>
      </c>
      <c r="C184" s="124" t="s">
        <v>491</v>
      </c>
      <c r="D184" s="124" t="s">
        <v>492</v>
      </c>
      <c r="E184" s="124" t="s">
        <v>78</v>
      </c>
      <c r="F184" s="146" t="s">
        <v>476</v>
      </c>
      <c r="G184" s="127" t="s">
        <v>80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90</v>
      </c>
      <c r="C185" s="124" t="s">
        <v>493</v>
      </c>
      <c r="D185" s="124" t="s">
        <v>494</v>
      </c>
      <c r="E185" s="124" t="s">
        <v>78</v>
      </c>
      <c r="F185" s="146" t="s">
        <v>18</v>
      </c>
      <c r="G185" s="127" t="s">
        <v>80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90</v>
      </c>
      <c r="C186" s="124" t="s">
        <v>495</v>
      </c>
      <c r="D186" s="124" t="s">
        <v>496</v>
      </c>
      <c r="E186" s="124" t="s">
        <v>78</v>
      </c>
      <c r="F186" s="146" t="s">
        <v>36</v>
      </c>
      <c r="G186" s="127" t="s">
        <v>80</v>
      </c>
      <c r="H186" s="134">
        <v>30003000</v>
      </c>
      <c r="I186" s="190" t="s">
        <v>51</v>
      </c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352</v>
      </c>
      <c r="C187" s="124" t="s">
        <v>497</v>
      </c>
      <c r="D187" s="124" t="s">
        <v>498</v>
      </c>
      <c r="E187" s="124" t="s">
        <v>78</v>
      </c>
      <c r="F187" s="146" t="s">
        <v>476</v>
      </c>
      <c r="G187" s="127" t="s">
        <v>80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244</v>
      </c>
      <c r="C188" s="124" t="s">
        <v>499</v>
      </c>
      <c r="D188" s="124" t="s">
        <v>500</v>
      </c>
      <c r="E188" s="124" t="s">
        <v>78</v>
      </c>
      <c r="F188" s="146" t="s">
        <v>36</v>
      </c>
      <c r="G188" s="127" t="s">
        <v>80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126</v>
      </c>
      <c r="C189" s="124" t="s">
        <v>501</v>
      </c>
      <c r="D189" s="124" t="s">
        <v>502</v>
      </c>
      <c r="E189" s="124" t="s">
        <v>78</v>
      </c>
      <c r="F189" s="146" t="s">
        <v>36</v>
      </c>
      <c r="G189" s="127" t="s">
        <v>80</v>
      </c>
      <c r="H189" s="134">
        <v>50005000</v>
      </c>
      <c r="I189" s="190" t="s">
        <v>51</v>
      </c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126</v>
      </c>
      <c r="C190" s="124" t="s">
        <v>501</v>
      </c>
      <c r="D190" s="124" t="s">
        <v>503</v>
      </c>
      <c r="E190" s="124" t="s">
        <v>78</v>
      </c>
      <c r="F190" s="146" t="s">
        <v>36</v>
      </c>
      <c r="G190" s="127" t="s">
        <v>80</v>
      </c>
      <c r="H190" s="134">
        <v>50005000</v>
      </c>
      <c r="I190" s="190" t="s">
        <v>51</v>
      </c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126</v>
      </c>
      <c r="C191" s="124" t="s">
        <v>504</v>
      </c>
      <c r="D191" s="124" t="s">
        <v>505</v>
      </c>
      <c r="E191" s="124" t="s">
        <v>78</v>
      </c>
      <c r="F191" s="146" t="s">
        <v>36</v>
      </c>
      <c r="G191" s="127" t="s">
        <v>80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126</v>
      </c>
      <c r="C192" s="124" t="s">
        <v>506</v>
      </c>
      <c r="D192" s="124" t="s">
        <v>507</v>
      </c>
      <c r="E192" s="124" t="s">
        <v>78</v>
      </c>
      <c r="F192" s="146" t="s">
        <v>36</v>
      </c>
      <c r="G192" s="127" t="s">
        <v>80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90</v>
      </c>
      <c r="C193" s="124" t="s">
        <v>508</v>
      </c>
      <c r="D193" s="124" t="s">
        <v>509</v>
      </c>
      <c r="E193" s="124" t="s">
        <v>78</v>
      </c>
      <c r="F193" s="146" t="s">
        <v>36</v>
      </c>
      <c r="G193" s="127" t="s">
        <v>80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90</v>
      </c>
      <c r="C194" s="124" t="s">
        <v>510</v>
      </c>
      <c r="D194" s="124" t="s">
        <v>511</v>
      </c>
      <c r="E194" s="124" t="s">
        <v>78</v>
      </c>
      <c r="F194" s="146" t="s">
        <v>512</v>
      </c>
      <c r="G194" s="127" t="s">
        <v>80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90</v>
      </c>
      <c r="C195" s="124" t="s">
        <v>513</v>
      </c>
      <c r="D195" s="124" t="s">
        <v>514</v>
      </c>
      <c r="E195" s="124" t="s">
        <v>78</v>
      </c>
      <c r="F195" s="146" t="s">
        <v>38</v>
      </c>
      <c r="G195" s="127" t="s">
        <v>80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468</v>
      </c>
      <c r="C196" s="124" t="s">
        <v>515</v>
      </c>
      <c r="D196" s="124" t="s">
        <v>516</v>
      </c>
      <c r="E196" s="124" t="s">
        <v>78</v>
      </c>
      <c r="F196" s="146" t="s">
        <v>38</v>
      </c>
      <c r="G196" s="127" t="s">
        <v>80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126</v>
      </c>
      <c r="C197" s="124" t="s">
        <v>517</v>
      </c>
      <c r="D197" s="124" t="s">
        <v>518</v>
      </c>
      <c r="E197" s="124" t="s">
        <v>78</v>
      </c>
      <c r="F197" s="146" t="s">
        <v>38</v>
      </c>
      <c r="G197" s="127" t="s">
        <v>80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468</v>
      </c>
      <c r="C198" s="124" t="s">
        <v>519</v>
      </c>
      <c r="D198" s="124" t="s">
        <v>520</v>
      </c>
      <c r="E198" s="124" t="s">
        <v>78</v>
      </c>
      <c r="F198" s="146" t="s">
        <v>38</v>
      </c>
      <c r="G198" s="127" t="s">
        <v>80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521</v>
      </c>
      <c r="C199" s="124" t="s">
        <v>522</v>
      </c>
      <c r="D199" s="124" t="s">
        <v>523</v>
      </c>
      <c r="E199" s="124" t="s">
        <v>78</v>
      </c>
      <c r="F199" s="146" t="s">
        <v>38</v>
      </c>
      <c r="G199" s="127" t="s">
        <v>80</v>
      </c>
      <c r="H199" s="134">
        <v>4502000</v>
      </c>
      <c r="I199" s="190" t="s">
        <v>51</v>
      </c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126</v>
      </c>
      <c r="C200" s="124" t="s">
        <v>524</v>
      </c>
      <c r="D200" s="124" t="s">
        <v>525</v>
      </c>
      <c r="E200" s="124" t="s">
        <v>78</v>
      </c>
      <c r="F200" s="146" t="s">
        <v>526</v>
      </c>
      <c r="G200" s="127" t="s">
        <v>80</v>
      </c>
      <c r="H200" s="134">
        <v>45000</v>
      </c>
      <c r="I200" s="190" t="s">
        <v>51</v>
      </c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90</v>
      </c>
      <c r="C201" s="124" t="s">
        <v>527</v>
      </c>
      <c r="D201" s="124" t="s">
        <v>528</v>
      </c>
      <c r="E201" s="124" t="s">
        <v>78</v>
      </c>
      <c r="F201" s="146" t="s">
        <v>526</v>
      </c>
      <c r="G201" s="127" t="s">
        <v>80</v>
      </c>
      <c r="H201" s="134">
        <v>1203000</v>
      </c>
      <c r="I201" s="190" t="s">
        <v>51</v>
      </c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352</v>
      </c>
      <c r="C202" s="124" t="s">
        <v>529</v>
      </c>
      <c r="D202" s="124" t="s">
        <v>530</v>
      </c>
      <c r="E202" s="124" t="s">
        <v>78</v>
      </c>
      <c r="F202" s="146" t="s">
        <v>342</v>
      </c>
      <c r="G202" s="127" t="s">
        <v>80</v>
      </c>
      <c r="H202" s="134">
        <v>655000</v>
      </c>
      <c r="I202" s="135" t="s">
        <v>131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357</v>
      </c>
      <c r="C203" s="124" t="s">
        <v>531</v>
      </c>
      <c r="D203" s="124" t="s">
        <v>532</v>
      </c>
      <c r="E203" s="124" t="s">
        <v>78</v>
      </c>
      <c r="F203" s="146" t="s">
        <v>533</v>
      </c>
      <c r="G203" s="127" t="s">
        <v>80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357</v>
      </c>
      <c r="C204" s="124" t="s">
        <v>534</v>
      </c>
      <c r="D204" s="124" t="s">
        <v>535</v>
      </c>
      <c r="E204" s="124" t="s">
        <v>78</v>
      </c>
      <c r="F204" s="146" t="s">
        <v>533</v>
      </c>
      <c r="G204" s="127" t="s">
        <v>80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357</v>
      </c>
      <c r="C205" s="124" t="s">
        <v>536</v>
      </c>
      <c r="D205" s="124" t="s">
        <v>537</v>
      </c>
      <c r="E205" s="124" t="s">
        <v>78</v>
      </c>
      <c r="F205" s="146" t="s">
        <v>251</v>
      </c>
      <c r="G205" s="127" t="s">
        <v>80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521</v>
      </c>
      <c r="C206" s="124" t="s">
        <v>538</v>
      </c>
      <c r="D206" s="124" t="s">
        <v>539</v>
      </c>
      <c r="E206" s="124" t="s">
        <v>144</v>
      </c>
      <c r="F206" s="146" t="s">
        <v>540</v>
      </c>
      <c r="G206" s="127" t="s">
        <v>80</v>
      </c>
      <c r="H206" s="134">
        <v>250000000</v>
      </c>
      <c r="I206" s="135"/>
      <c r="J206" s="124" t="s">
        <v>541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272</v>
      </c>
      <c r="C207" s="124" t="s">
        <v>542</v>
      </c>
      <c r="D207" s="124" t="s">
        <v>543</v>
      </c>
      <c r="E207" s="124" t="s">
        <v>78</v>
      </c>
      <c r="F207" s="146" t="s">
        <v>533</v>
      </c>
      <c r="G207" s="127" t="s">
        <v>80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314</v>
      </c>
      <c r="C208" s="124" t="s">
        <v>544</v>
      </c>
      <c r="D208" s="124" t="s">
        <v>545</v>
      </c>
      <c r="E208" s="124" t="s">
        <v>546</v>
      </c>
      <c r="F208" s="146" t="s">
        <v>72</v>
      </c>
      <c r="G208" s="127" t="s">
        <v>80</v>
      </c>
      <c r="H208" s="134">
        <v>250000000</v>
      </c>
      <c r="I208" s="135"/>
      <c r="J208" s="124" t="s">
        <v>547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314</v>
      </c>
      <c r="C209" s="124" t="s">
        <v>548</v>
      </c>
      <c r="D209" s="124" t="s">
        <v>549</v>
      </c>
      <c r="E209" s="124" t="s">
        <v>546</v>
      </c>
      <c r="F209" s="146" t="s">
        <v>550</v>
      </c>
      <c r="G209" s="127" t="s">
        <v>80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244</v>
      </c>
      <c r="C210" s="124" t="s">
        <v>551</v>
      </c>
      <c r="D210" s="124" t="s">
        <v>552</v>
      </c>
      <c r="E210" s="124" t="s">
        <v>484</v>
      </c>
      <c r="F210" s="146" t="s">
        <v>553</v>
      </c>
      <c r="G210" s="127" t="s">
        <v>80</v>
      </c>
      <c r="H210" s="134">
        <v>0</v>
      </c>
      <c r="I210" s="135"/>
      <c r="J210" s="124" t="s">
        <v>554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90</v>
      </c>
      <c r="C211" s="124" t="s">
        <v>555</v>
      </c>
      <c r="D211" s="124" t="s">
        <v>556</v>
      </c>
      <c r="E211" s="124" t="s">
        <v>78</v>
      </c>
      <c r="F211" s="146" t="s">
        <v>41</v>
      </c>
      <c r="G211" s="127" t="s">
        <v>80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90</v>
      </c>
      <c r="C212" s="124" t="s">
        <v>557</v>
      </c>
      <c r="D212" s="124" t="s">
        <v>558</v>
      </c>
      <c r="E212" s="124" t="s">
        <v>78</v>
      </c>
      <c r="F212" s="146" t="s">
        <v>41</v>
      </c>
      <c r="G212" s="127" t="s">
        <v>80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126</v>
      </c>
      <c r="C213" s="124" t="s">
        <v>559</v>
      </c>
      <c r="D213" s="124" t="s">
        <v>560</v>
      </c>
      <c r="E213" s="124" t="s">
        <v>78</v>
      </c>
      <c r="F213" s="146" t="s">
        <v>561</v>
      </c>
      <c r="G213" s="127" t="s">
        <v>80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357</v>
      </c>
      <c r="C214" s="124" t="s">
        <v>536</v>
      </c>
      <c r="D214" s="124" t="s">
        <v>562</v>
      </c>
      <c r="E214" s="124" t="s">
        <v>78</v>
      </c>
      <c r="F214" s="146" t="s">
        <v>563</v>
      </c>
      <c r="G214" s="127" t="s">
        <v>80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357</v>
      </c>
      <c r="C215" s="124" t="s">
        <v>213</v>
      </c>
      <c r="D215" s="124" t="s">
        <v>564</v>
      </c>
      <c r="E215" s="124" t="s">
        <v>78</v>
      </c>
      <c r="F215" s="146" t="s">
        <v>565</v>
      </c>
      <c r="G215" s="127" t="s">
        <v>80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230</v>
      </c>
      <c r="C216" s="124" t="s">
        <v>566</v>
      </c>
      <c r="D216" s="124" t="s">
        <v>567</v>
      </c>
      <c r="E216" s="124" t="s">
        <v>78</v>
      </c>
      <c r="F216" s="146" t="s">
        <v>565</v>
      </c>
      <c r="G216" s="127" t="s">
        <v>80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314</v>
      </c>
      <c r="C217" s="124" t="s">
        <v>396</v>
      </c>
      <c r="D217" s="124" t="s">
        <v>568</v>
      </c>
      <c r="E217" s="124" t="s">
        <v>78</v>
      </c>
      <c r="F217" s="146" t="s">
        <v>565</v>
      </c>
      <c r="G217" s="127" t="s">
        <v>80</v>
      </c>
      <c r="H217" s="134">
        <v>303000</v>
      </c>
      <c r="I217" s="135"/>
      <c r="J217" s="124" t="s">
        <v>569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126</v>
      </c>
      <c r="C218" s="124" t="s">
        <v>488</v>
      </c>
      <c r="D218" s="124" t="s">
        <v>570</v>
      </c>
      <c r="E218" s="124" t="s">
        <v>78</v>
      </c>
      <c r="F218" s="146" t="s">
        <v>45</v>
      </c>
      <c r="G218" s="127" t="s">
        <v>80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126</v>
      </c>
      <c r="C219" s="124" t="s">
        <v>488</v>
      </c>
      <c r="D219" s="124" t="s">
        <v>571</v>
      </c>
      <c r="E219" s="124" t="s">
        <v>78</v>
      </c>
      <c r="F219" s="146" t="s">
        <v>45</v>
      </c>
      <c r="G219" s="127" t="s">
        <v>80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230</v>
      </c>
      <c r="C220" s="124" t="s">
        <v>572</v>
      </c>
      <c r="D220" s="124" t="s">
        <v>573</v>
      </c>
      <c r="E220" s="124" t="s">
        <v>78</v>
      </c>
      <c r="F220" s="146" t="s">
        <v>574</v>
      </c>
      <c r="G220" s="127" t="s">
        <v>80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252</v>
      </c>
      <c r="C221" s="124" t="s">
        <v>575</v>
      </c>
      <c r="D221" s="124" t="s">
        <v>576</v>
      </c>
      <c r="E221" s="124" t="s">
        <v>78</v>
      </c>
      <c r="F221" s="146" t="s">
        <v>577</v>
      </c>
      <c r="G221" s="127" t="s">
        <v>80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252</v>
      </c>
      <c r="C222" s="124" t="s">
        <v>575</v>
      </c>
      <c r="D222" s="124" t="s">
        <v>578</v>
      </c>
      <c r="E222" s="124" t="s">
        <v>78</v>
      </c>
      <c r="F222" s="146" t="s">
        <v>577</v>
      </c>
      <c r="G222" s="127" t="s">
        <v>80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90</v>
      </c>
      <c r="C223" s="124" t="s">
        <v>579</v>
      </c>
      <c r="D223" s="124" t="s">
        <v>580</v>
      </c>
      <c r="E223" s="124" t="s">
        <v>78</v>
      </c>
      <c r="F223" s="146" t="s">
        <v>577</v>
      </c>
      <c r="G223" s="127" t="s">
        <v>80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252</v>
      </c>
      <c r="C224" s="124" t="s">
        <v>213</v>
      </c>
      <c r="D224" s="124" t="s">
        <v>581</v>
      </c>
      <c r="E224" s="124" t="s">
        <v>78</v>
      </c>
      <c r="F224" s="146" t="s">
        <v>577</v>
      </c>
      <c r="G224" s="191" t="s">
        <v>80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90</v>
      </c>
      <c r="C225" s="124" t="s">
        <v>582</v>
      </c>
      <c r="D225" s="124" t="s">
        <v>583</v>
      </c>
      <c r="E225" s="124" t="s">
        <v>78</v>
      </c>
      <c r="F225" s="146" t="s">
        <v>584</v>
      </c>
      <c r="G225" s="191" t="s">
        <v>80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90</v>
      </c>
      <c r="C226" s="124" t="s">
        <v>585</v>
      </c>
      <c r="D226" s="124" t="s">
        <v>586</v>
      </c>
      <c r="E226" s="124" t="s">
        <v>78</v>
      </c>
      <c r="F226" s="146" t="s">
        <v>587</v>
      </c>
      <c r="G226" s="191" t="s">
        <v>80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244</v>
      </c>
      <c r="C227" s="124" t="s">
        <v>588</v>
      </c>
      <c r="D227" s="124" t="s">
        <v>589</v>
      </c>
      <c r="E227" s="124" t="s">
        <v>144</v>
      </c>
      <c r="F227" s="146" t="s">
        <v>590</v>
      </c>
      <c r="G227" s="191" t="s">
        <v>80</v>
      </c>
      <c r="H227" s="134">
        <v>250000000</v>
      </c>
      <c r="I227" s="135"/>
      <c r="J227" s="124" t="s">
        <v>591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244</v>
      </c>
      <c r="C228" s="124" t="s">
        <v>588</v>
      </c>
      <c r="D228" s="124" t="s">
        <v>592</v>
      </c>
      <c r="E228" s="124" t="s">
        <v>78</v>
      </c>
      <c r="F228" s="146" t="s">
        <v>593</v>
      </c>
      <c r="G228" s="191" t="s">
        <v>80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468</v>
      </c>
      <c r="C229" s="124" t="s">
        <v>469</v>
      </c>
      <c r="D229" s="124" t="s">
        <v>594</v>
      </c>
      <c r="E229" s="124" t="s">
        <v>78</v>
      </c>
      <c r="F229" s="146" t="s">
        <v>593</v>
      </c>
      <c r="G229" s="191" t="s">
        <v>80</v>
      </c>
      <c r="H229" s="134">
        <v>100010000</v>
      </c>
      <c r="I229" s="135"/>
      <c r="J229" s="124" t="s">
        <v>595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468</v>
      </c>
      <c r="C230" s="124" t="s">
        <v>469</v>
      </c>
      <c r="D230" s="124" t="s">
        <v>596</v>
      </c>
      <c r="E230" s="124" t="s">
        <v>144</v>
      </c>
      <c r="F230" s="146" t="s">
        <v>593</v>
      </c>
      <c r="G230" s="191" t="s">
        <v>80</v>
      </c>
      <c r="H230" s="134">
        <v>73200000</v>
      </c>
      <c r="I230" s="135"/>
      <c r="J230" s="124" t="s">
        <v>597</v>
      </c>
      <c r="K230" s="134" t="s">
        <v>598</v>
      </c>
      <c r="L230" s="151" t="s">
        <v>599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468</v>
      </c>
      <c r="C231" s="124" t="s">
        <v>469</v>
      </c>
      <c r="D231" s="124" t="s">
        <v>600</v>
      </c>
      <c r="E231" s="124" t="s">
        <v>78</v>
      </c>
      <c r="F231" s="146" t="s">
        <v>593</v>
      </c>
      <c r="G231" s="191" t="s">
        <v>80</v>
      </c>
      <c r="H231" s="134">
        <v>9400000</v>
      </c>
      <c r="I231" s="135"/>
      <c r="J231" s="124" t="s">
        <v>601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90</v>
      </c>
      <c r="C232" s="124" t="s">
        <v>602</v>
      </c>
      <c r="D232" s="124" t="s">
        <v>603</v>
      </c>
      <c r="E232" s="124" t="s">
        <v>78</v>
      </c>
      <c r="F232" s="146" t="s">
        <v>593</v>
      </c>
      <c r="G232" s="191" t="s">
        <v>80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110</v>
      </c>
      <c r="C233" s="124" t="s">
        <v>604</v>
      </c>
      <c r="D233" s="124" t="s">
        <v>605</v>
      </c>
      <c r="E233" s="124" t="s">
        <v>78</v>
      </c>
      <c r="F233" s="146" t="s">
        <v>587</v>
      </c>
      <c r="G233" s="191" t="s">
        <v>80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90</v>
      </c>
      <c r="C234" s="124" t="s">
        <v>606</v>
      </c>
      <c r="D234" s="124" t="s">
        <v>607</v>
      </c>
      <c r="E234" s="124" t="s">
        <v>78</v>
      </c>
      <c r="F234" s="146" t="s">
        <v>52</v>
      </c>
      <c r="G234" s="191" t="s">
        <v>80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126</v>
      </c>
      <c r="C235" s="124" t="s">
        <v>608</v>
      </c>
      <c r="D235" s="124" t="s">
        <v>609</v>
      </c>
      <c r="E235" s="124" t="s">
        <v>78</v>
      </c>
      <c r="F235" s="146" t="s">
        <v>52</v>
      </c>
      <c r="G235" s="191" t="s">
        <v>80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521</v>
      </c>
      <c r="C236" s="124" t="s">
        <v>610</v>
      </c>
      <c r="D236" s="124" t="s">
        <v>611</v>
      </c>
      <c r="E236" s="124" t="s">
        <v>78</v>
      </c>
      <c r="F236" s="146" t="s">
        <v>612</v>
      </c>
      <c r="G236" s="191" t="s">
        <v>80</v>
      </c>
      <c r="H236" s="134">
        <v>0</v>
      </c>
      <c r="I236" s="135"/>
      <c r="J236" s="124" t="s">
        <v>613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126</v>
      </c>
      <c r="C237" s="124" t="s">
        <v>501</v>
      </c>
      <c r="D237" s="124" t="s">
        <v>614</v>
      </c>
      <c r="E237" s="124" t="s">
        <v>78</v>
      </c>
      <c r="F237" s="146" t="s">
        <v>615</v>
      </c>
      <c r="G237" s="191" t="s">
        <v>80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126</v>
      </c>
      <c r="C238" s="124" t="s">
        <v>501</v>
      </c>
      <c r="D238" s="124" t="s">
        <v>616</v>
      </c>
      <c r="E238" s="124" t="s">
        <v>78</v>
      </c>
      <c r="F238" s="146" t="s">
        <v>617</v>
      </c>
      <c r="G238" s="191" t="s">
        <v>80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90</v>
      </c>
      <c r="C239" s="124" t="s">
        <v>618</v>
      </c>
      <c r="D239" s="124" t="s">
        <v>619</v>
      </c>
      <c r="E239" s="124" t="s">
        <v>78</v>
      </c>
      <c r="F239" s="146" t="s">
        <v>615</v>
      </c>
      <c r="G239" s="191" t="s">
        <v>80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90</v>
      </c>
      <c r="C240" s="124" t="s">
        <v>620</v>
      </c>
      <c r="D240" s="124" t="s">
        <v>621</v>
      </c>
      <c r="E240" s="124" t="s">
        <v>78</v>
      </c>
      <c r="F240" s="146" t="s">
        <v>622</v>
      </c>
      <c r="G240" s="191" t="s">
        <v>623</v>
      </c>
      <c r="H240" s="134">
        <v>400000</v>
      </c>
      <c r="I240" s="135"/>
      <c r="J240" s="124" t="s">
        <v>624</v>
      </c>
      <c r="K240" s="134" t="s">
        <v>625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90</v>
      </c>
      <c r="C241" s="124" t="s">
        <v>499</v>
      </c>
      <c r="D241" s="124" t="s">
        <v>626</v>
      </c>
      <c r="E241" s="124" t="s">
        <v>78</v>
      </c>
      <c r="F241" s="146" t="s">
        <v>615</v>
      </c>
      <c r="G241" s="191" t="s">
        <v>80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357</v>
      </c>
      <c r="C242" s="124" t="s">
        <v>213</v>
      </c>
      <c r="D242" s="124" t="s">
        <v>627</v>
      </c>
      <c r="E242" s="124" t="s">
        <v>78</v>
      </c>
      <c r="F242" s="146" t="s">
        <v>628</v>
      </c>
      <c r="G242" s="191" t="s">
        <v>80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357</v>
      </c>
      <c r="C243" s="124" t="s">
        <v>536</v>
      </c>
      <c r="D243" s="124" t="s">
        <v>629</v>
      </c>
      <c r="E243" s="124" t="s">
        <v>78</v>
      </c>
      <c r="F243" s="146" t="s">
        <v>628</v>
      </c>
      <c r="G243" s="191" t="s">
        <v>623</v>
      </c>
      <c r="H243" s="134">
        <v>14000000</v>
      </c>
      <c r="I243" s="135"/>
      <c r="J243" s="124" t="s">
        <v>630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357</v>
      </c>
      <c r="C244" s="124" t="s">
        <v>631</v>
      </c>
      <c r="D244" s="124" t="s">
        <v>632</v>
      </c>
      <c r="E244" s="124" t="s">
        <v>78</v>
      </c>
      <c r="F244" s="146" t="s">
        <v>628</v>
      </c>
      <c r="G244" s="191" t="s">
        <v>80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90</v>
      </c>
      <c r="C245" s="124" t="s">
        <v>499</v>
      </c>
      <c r="D245" s="124" t="s">
        <v>633</v>
      </c>
      <c r="E245" s="124" t="s">
        <v>78</v>
      </c>
      <c r="F245" s="146" t="s">
        <v>628</v>
      </c>
      <c r="G245" s="191" t="s">
        <v>80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75</v>
      </c>
      <c r="C246" s="124" t="s">
        <v>634</v>
      </c>
      <c r="D246" s="124" t="s">
        <v>635</v>
      </c>
      <c r="E246" s="124" t="s">
        <v>78</v>
      </c>
      <c r="F246" s="146" t="s">
        <v>628</v>
      </c>
      <c r="G246" s="191" t="s">
        <v>80</v>
      </c>
      <c r="H246" s="134">
        <v>80000000</v>
      </c>
      <c r="I246" s="135"/>
      <c r="J246" s="124" t="s">
        <v>636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314</v>
      </c>
      <c r="C247" s="124" t="s">
        <v>631</v>
      </c>
      <c r="D247" s="124" t="s">
        <v>637</v>
      </c>
      <c r="E247" s="124" t="s">
        <v>78</v>
      </c>
      <c r="F247" s="146" t="s">
        <v>638</v>
      </c>
      <c r="G247" s="191" t="s">
        <v>80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314</v>
      </c>
      <c r="C248" s="124" t="s">
        <v>631</v>
      </c>
      <c r="D248" s="124" t="s">
        <v>639</v>
      </c>
      <c r="E248" s="124" t="s">
        <v>78</v>
      </c>
      <c r="F248" s="146" t="s">
        <v>638</v>
      </c>
      <c r="G248" s="191" t="s">
        <v>80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126</v>
      </c>
      <c r="C249" s="124" t="s">
        <v>640</v>
      </c>
      <c r="D249" s="124" t="s">
        <v>641</v>
      </c>
      <c r="E249" s="124" t="s">
        <v>78</v>
      </c>
      <c r="F249" s="146" t="s">
        <v>642</v>
      </c>
      <c r="G249" s="191" t="s">
        <v>80</v>
      </c>
      <c r="H249" s="134">
        <v>30005000</v>
      </c>
      <c r="I249" s="135" t="s">
        <v>51</v>
      </c>
      <c r="J249" s="124" t="s">
        <v>643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126</v>
      </c>
      <c r="C250" s="124" t="s">
        <v>640</v>
      </c>
      <c r="D250" s="124" t="s">
        <v>644</v>
      </c>
      <c r="E250" s="124" t="s">
        <v>78</v>
      </c>
      <c r="F250" s="146" t="s">
        <v>642</v>
      </c>
      <c r="G250" s="191" t="s">
        <v>80</v>
      </c>
      <c r="H250" s="134">
        <v>30005000</v>
      </c>
      <c r="I250" s="135" t="s">
        <v>51</v>
      </c>
      <c r="J250" s="124" t="s">
        <v>645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90</v>
      </c>
      <c r="C251" s="124" t="s">
        <v>646</v>
      </c>
      <c r="D251" s="124" t="s">
        <v>647</v>
      </c>
      <c r="E251" s="124" t="s">
        <v>78</v>
      </c>
      <c r="F251" s="146" t="s">
        <v>648</v>
      </c>
      <c r="G251" s="191" t="s">
        <v>80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244</v>
      </c>
      <c r="C252" s="124" t="s">
        <v>649</v>
      </c>
      <c r="D252" s="124" t="s">
        <v>650</v>
      </c>
      <c r="E252" s="124" t="s">
        <v>144</v>
      </c>
      <c r="F252" s="146" t="s">
        <v>651</v>
      </c>
      <c r="G252" s="191" t="s">
        <v>80</v>
      </c>
      <c r="H252" s="134">
        <v>720000000</v>
      </c>
      <c r="I252" s="135"/>
      <c r="J252" s="124" t="s">
        <v>652</v>
      </c>
      <c r="K252" s="134" t="s">
        <v>653</v>
      </c>
      <c r="L252" s="151" t="s">
        <v>654</v>
      </c>
      <c r="M252" s="157" t="s">
        <v>655</v>
      </c>
      <c r="N252" s="169" t="s">
        <v>656</v>
      </c>
      <c r="O252" s="124" t="s">
        <v>657</v>
      </c>
      <c r="P252" s="124" t="s">
        <v>658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357</v>
      </c>
      <c r="C253" s="124" t="s">
        <v>213</v>
      </c>
      <c r="D253" s="124" t="s">
        <v>659</v>
      </c>
      <c r="E253" s="124" t="s">
        <v>78</v>
      </c>
      <c r="F253" s="146" t="s">
        <v>660</v>
      </c>
      <c r="G253" s="191" t="s">
        <v>80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357</v>
      </c>
      <c r="C254" s="124" t="s">
        <v>536</v>
      </c>
      <c r="D254" s="124" t="s">
        <v>661</v>
      </c>
      <c r="E254" s="124" t="s">
        <v>78</v>
      </c>
      <c r="F254" s="146" t="s">
        <v>660</v>
      </c>
      <c r="G254" s="191" t="s">
        <v>80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662</v>
      </c>
      <c r="C255" s="124" t="s">
        <v>663</v>
      </c>
      <c r="D255" s="124" t="s">
        <v>664</v>
      </c>
      <c r="E255" s="124" t="s">
        <v>144</v>
      </c>
      <c r="F255" s="146" t="s">
        <v>665</v>
      </c>
      <c r="G255" s="191" t="s">
        <v>80</v>
      </c>
      <c r="H255" s="134">
        <v>45000000</v>
      </c>
      <c r="I255" s="135"/>
      <c r="J255" s="124" t="s">
        <v>666</v>
      </c>
      <c r="K255" s="134" t="s">
        <v>667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126</v>
      </c>
      <c r="C256" s="124" t="s">
        <v>668</v>
      </c>
      <c r="D256" s="124" t="s">
        <v>669</v>
      </c>
      <c r="E256" s="124" t="s">
        <v>78</v>
      </c>
      <c r="F256" s="146" t="s">
        <v>670</v>
      </c>
      <c r="G256" s="191" t="s">
        <v>80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521</v>
      </c>
      <c r="C257" s="124" t="s">
        <v>671</v>
      </c>
      <c r="D257" s="124" t="s">
        <v>672</v>
      </c>
      <c r="E257" s="124" t="s">
        <v>144</v>
      </c>
      <c r="F257" s="146" t="s">
        <v>673</v>
      </c>
      <c r="G257" s="191" t="s">
        <v>80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314</v>
      </c>
      <c r="C258" s="124" t="s">
        <v>674</v>
      </c>
      <c r="D258" s="124" t="s">
        <v>675</v>
      </c>
      <c r="E258" s="124" t="s">
        <v>144</v>
      </c>
      <c r="F258" s="146" t="s">
        <v>676</v>
      </c>
      <c r="G258" s="191" t="s">
        <v>80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521</v>
      </c>
      <c r="C259" s="124" t="s">
        <v>677</v>
      </c>
      <c r="D259" s="124" t="s">
        <v>678</v>
      </c>
      <c r="E259" s="124" t="s">
        <v>78</v>
      </c>
      <c r="F259" s="146" t="s">
        <v>679</v>
      </c>
      <c r="G259" s="191" t="s">
        <v>80</v>
      </c>
      <c r="H259" s="134">
        <v>12005000</v>
      </c>
      <c r="I259" s="135"/>
      <c r="J259" s="124" t="s">
        <v>680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357</v>
      </c>
      <c r="C260" s="124" t="s">
        <v>681</v>
      </c>
      <c r="D260" s="124" t="s">
        <v>682</v>
      </c>
      <c r="E260" s="124" t="s">
        <v>78</v>
      </c>
      <c r="F260" s="146" t="s">
        <v>683</v>
      </c>
      <c r="G260" s="191" t="s">
        <v>80</v>
      </c>
      <c r="H260" s="134">
        <v>15001500</v>
      </c>
      <c r="I260" s="135"/>
      <c r="J260" s="124" t="s">
        <v>684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90</v>
      </c>
      <c r="C261" s="124" t="s">
        <v>685</v>
      </c>
      <c r="D261" s="124" t="s">
        <v>686</v>
      </c>
      <c r="E261" s="124" t="s">
        <v>78</v>
      </c>
      <c r="F261" s="146" t="s">
        <v>687</v>
      </c>
      <c r="G261" s="191" t="s">
        <v>80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314</v>
      </c>
      <c r="C262" s="124" t="s">
        <v>688</v>
      </c>
      <c r="D262" s="124" t="s">
        <v>689</v>
      </c>
      <c r="E262" s="124" t="s">
        <v>78</v>
      </c>
      <c r="F262" s="146" t="s">
        <v>690</v>
      </c>
      <c r="G262" s="191" t="s">
        <v>623</v>
      </c>
      <c r="H262" s="134">
        <v>1500000</v>
      </c>
      <c r="I262" s="135"/>
      <c r="J262" s="124" t="s">
        <v>691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314</v>
      </c>
      <c r="C263" s="124" t="s">
        <v>396</v>
      </c>
      <c r="D263" s="124" t="s">
        <v>692</v>
      </c>
      <c r="E263" s="124" t="s">
        <v>78</v>
      </c>
      <c r="F263" s="146" t="s">
        <v>690</v>
      </c>
      <c r="G263" s="191" t="s">
        <v>623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314</v>
      </c>
      <c r="C264" s="124" t="s">
        <v>396</v>
      </c>
      <c r="D264" s="124" t="s">
        <v>693</v>
      </c>
      <c r="E264" s="124" t="s">
        <v>78</v>
      </c>
      <c r="F264" s="146" t="s">
        <v>690</v>
      </c>
      <c r="G264" s="191" t="s">
        <v>623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314</v>
      </c>
      <c r="C265" s="124" t="s">
        <v>396</v>
      </c>
      <c r="D265" s="124" t="s">
        <v>694</v>
      </c>
      <c r="E265" s="124" t="s">
        <v>78</v>
      </c>
      <c r="F265" s="146" t="s">
        <v>690</v>
      </c>
      <c r="G265" s="191" t="s">
        <v>623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331</v>
      </c>
      <c r="C266" s="124" t="s">
        <v>695</v>
      </c>
      <c r="D266" s="193" t="s">
        <v>696</v>
      </c>
      <c r="E266" s="124" t="s">
        <v>78</v>
      </c>
      <c r="F266" s="146" t="s">
        <v>622</v>
      </c>
      <c r="G266" s="191" t="s">
        <v>623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697</v>
      </c>
      <c r="B267" s="124" t="s">
        <v>357</v>
      </c>
      <c r="C267" s="124" t="s">
        <v>698</v>
      </c>
      <c r="D267" s="193" t="s">
        <v>699</v>
      </c>
      <c r="E267" s="124" t="s">
        <v>78</v>
      </c>
      <c r="F267" s="146" t="s">
        <v>687</v>
      </c>
      <c r="G267" s="191" t="s">
        <v>700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701</v>
      </c>
      <c r="B268" s="124" t="s">
        <v>357</v>
      </c>
      <c r="C268" s="124" t="s">
        <v>698</v>
      </c>
      <c r="D268" s="193" t="s">
        <v>702</v>
      </c>
      <c r="E268" s="124" t="s">
        <v>78</v>
      </c>
      <c r="F268" s="146" t="s">
        <v>687</v>
      </c>
      <c r="G268" s="191" t="s">
        <v>623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90</v>
      </c>
      <c r="C269" s="124" t="s">
        <v>703</v>
      </c>
      <c r="D269" s="124" t="s">
        <v>704</v>
      </c>
      <c r="E269" s="124" t="s">
        <v>78</v>
      </c>
      <c r="F269" s="146" t="s">
        <v>687</v>
      </c>
      <c r="G269" s="191" t="s">
        <v>623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244</v>
      </c>
      <c r="C270" s="124" t="s">
        <v>705</v>
      </c>
      <c r="D270" s="124" t="s">
        <v>706</v>
      </c>
      <c r="E270" s="124" t="s">
        <v>144</v>
      </c>
      <c r="F270" s="146" t="s">
        <v>707</v>
      </c>
      <c r="G270" s="191" t="s">
        <v>80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468</v>
      </c>
      <c r="C271" s="124" t="s">
        <v>708</v>
      </c>
      <c r="D271" s="124" t="s">
        <v>709</v>
      </c>
      <c r="E271" s="124" t="s">
        <v>144</v>
      </c>
      <c r="F271" s="146" t="s">
        <v>710</v>
      </c>
      <c r="G271" s="191" t="s">
        <v>80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468</v>
      </c>
      <c r="C272" s="124" t="s">
        <v>711</v>
      </c>
      <c r="D272" s="124" t="s">
        <v>712</v>
      </c>
      <c r="E272" s="124" t="s">
        <v>78</v>
      </c>
      <c r="F272" s="146" t="s">
        <v>713</v>
      </c>
      <c r="G272" s="191" t="s">
        <v>623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90</v>
      </c>
      <c r="C273" s="124" t="s">
        <v>714</v>
      </c>
      <c r="D273" s="124" t="s">
        <v>715</v>
      </c>
      <c r="E273" s="124" t="s">
        <v>78</v>
      </c>
      <c r="F273" s="146" t="s">
        <v>716</v>
      </c>
      <c r="G273" s="191" t="s">
        <v>623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90</v>
      </c>
      <c r="C274" s="124" t="s">
        <v>717</v>
      </c>
      <c r="D274" s="124" t="s">
        <v>718</v>
      </c>
      <c r="E274" s="124" t="s">
        <v>78</v>
      </c>
      <c r="F274" s="146" t="s">
        <v>716</v>
      </c>
      <c r="G274" s="191" t="s">
        <v>623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230</v>
      </c>
      <c r="C275" s="124" t="s">
        <v>719</v>
      </c>
      <c r="D275" s="124" t="s">
        <v>720</v>
      </c>
      <c r="E275" s="124" t="s">
        <v>78</v>
      </c>
      <c r="F275" s="146" t="s">
        <v>716</v>
      </c>
      <c r="G275" s="191" t="s">
        <v>623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230</v>
      </c>
      <c r="C276" s="124" t="s">
        <v>719</v>
      </c>
      <c r="D276" s="124" t="s">
        <v>720</v>
      </c>
      <c r="E276" s="124" t="s">
        <v>78</v>
      </c>
      <c r="F276" s="146" t="s">
        <v>716</v>
      </c>
      <c r="G276" s="191" t="s">
        <v>623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244</v>
      </c>
      <c r="C277" s="124" t="s">
        <v>721</v>
      </c>
      <c r="D277" s="124" t="s">
        <v>722</v>
      </c>
      <c r="E277" s="124" t="s">
        <v>78</v>
      </c>
      <c r="F277" s="146" t="s">
        <v>716</v>
      </c>
      <c r="G277" s="191" t="s">
        <v>623</v>
      </c>
      <c r="H277" s="134">
        <v>200020000</v>
      </c>
      <c r="I277" s="135"/>
      <c r="J277" s="124" t="s">
        <v>723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244</v>
      </c>
      <c r="C278" s="124" t="s">
        <v>721</v>
      </c>
      <c r="D278" s="124" t="s">
        <v>724</v>
      </c>
      <c r="E278" s="124" t="s">
        <v>78</v>
      </c>
      <c r="F278" s="146" t="s">
        <v>716</v>
      </c>
      <c r="G278" s="191" t="s">
        <v>623</v>
      </c>
      <c r="H278" s="134">
        <v>100010000</v>
      </c>
      <c r="I278" s="135"/>
      <c r="J278" s="124" t="s">
        <v>723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244</v>
      </c>
      <c r="C279" s="124" t="s">
        <v>725</v>
      </c>
      <c r="D279" s="124" t="s">
        <v>726</v>
      </c>
      <c r="E279" s="124" t="s">
        <v>78</v>
      </c>
      <c r="F279" s="146" t="s">
        <v>716</v>
      </c>
      <c r="G279" s="191" t="s">
        <v>80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90</v>
      </c>
      <c r="C280" s="124" t="s">
        <v>727</v>
      </c>
      <c r="D280" s="124" t="s">
        <v>728</v>
      </c>
      <c r="E280" s="124" t="s">
        <v>144</v>
      </c>
      <c r="F280" s="146" t="s">
        <v>729</v>
      </c>
      <c r="G280" s="191" t="s">
        <v>80</v>
      </c>
      <c r="H280" s="134">
        <v>65500000</v>
      </c>
      <c r="I280" s="135"/>
      <c r="J280" s="124" t="s">
        <v>730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110</v>
      </c>
      <c r="C281" s="124" t="s">
        <v>731</v>
      </c>
      <c r="D281" s="124" t="s">
        <v>732</v>
      </c>
      <c r="E281" s="124" t="s">
        <v>78</v>
      </c>
      <c r="F281" s="146" t="s">
        <v>733</v>
      </c>
      <c r="G281" s="191" t="s">
        <v>80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90</v>
      </c>
      <c r="C282" s="124" t="s">
        <v>734</v>
      </c>
      <c r="D282" s="124" t="s">
        <v>735</v>
      </c>
      <c r="E282" s="124" t="s">
        <v>78</v>
      </c>
      <c r="F282" s="146" t="s">
        <v>683</v>
      </c>
      <c r="G282" s="191" t="s">
        <v>80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173</v>
      </c>
      <c r="C283" s="124" t="s">
        <v>736</v>
      </c>
      <c r="D283" s="124" t="s">
        <v>737</v>
      </c>
      <c r="E283" s="124" t="s">
        <v>78</v>
      </c>
      <c r="F283" s="146" t="s">
        <v>683</v>
      </c>
      <c r="G283" s="191" t="s">
        <v>80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230</v>
      </c>
      <c r="C284" s="124" t="s">
        <v>738</v>
      </c>
      <c r="D284" s="124" t="s">
        <v>739</v>
      </c>
      <c r="E284" s="124" t="s">
        <v>78</v>
      </c>
      <c r="F284" s="146" t="s">
        <v>683</v>
      </c>
      <c r="G284" s="191" t="s">
        <v>80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521</v>
      </c>
      <c r="C285" s="124" t="s">
        <v>740</v>
      </c>
      <c r="D285" s="124" t="s">
        <v>741</v>
      </c>
      <c r="E285" s="124" t="s">
        <v>78</v>
      </c>
      <c r="F285" s="146" t="s">
        <v>683</v>
      </c>
      <c r="G285" s="191" t="s">
        <v>80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352</v>
      </c>
      <c r="C286" s="124" t="s">
        <v>742</v>
      </c>
      <c r="D286" s="124" t="s">
        <v>743</v>
      </c>
      <c r="E286" s="124" t="s">
        <v>78</v>
      </c>
      <c r="F286" s="146" t="s">
        <v>744</v>
      </c>
      <c r="G286" s="191" t="s">
        <v>80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90</v>
      </c>
      <c r="C287" s="124" t="s">
        <v>745</v>
      </c>
      <c r="D287" s="124" t="s">
        <v>746</v>
      </c>
      <c r="E287" s="124" t="s">
        <v>78</v>
      </c>
      <c r="F287" s="146" t="s">
        <v>683</v>
      </c>
      <c r="G287" s="191" t="s">
        <v>80</v>
      </c>
      <c r="H287" s="134">
        <v>400500</v>
      </c>
      <c r="I287" s="135"/>
      <c r="J287" s="124" t="s">
        <v>747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126</v>
      </c>
      <c r="C288" s="124" t="s">
        <v>748</v>
      </c>
      <c r="D288" s="124" t="s">
        <v>749</v>
      </c>
      <c r="E288" s="124" t="s">
        <v>78</v>
      </c>
      <c r="F288" s="146" t="s">
        <v>683</v>
      </c>
      <c r="G288" s="191" t="s">
        <v>80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357</v>
      </c>
      <c r="C289" s="124" t="s">
        <v>698</v>
      </c>
      <c r="D289" s="124" t="s">
        <v>750</v>
      </c>
      <c r="E289" s="124" t="s">
        <v>78</v>
      </c>
      <c r="F289" s="146" t="s">
        <v>751</v>
      </c>
      <c r="G289" s="191" t="s">
        <v>80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357</v>
      </c>
      <c r="C290" s="124" t="s">
        <v>698</v>
      </c>
      <c r="D290" s="124" t="s">
        <v>752</v>
      </c>
      <c r="E290" s="124" t="s">
        <v>78</v>
      </c>
      <c r="F290" s="146" t="s">
        <v>751</v>
      </c>
      <c r="G290" s="191" t="s">
        <v>700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357</v>
      </c>
      <c r="C291" s="193" t="s">
        <v>753</v>
      </c>
      <c r="D291" s="193" t="s">
        <v>754</v>
      </c>
      <c r="E291" s="193" t="s">
        <v>78</v>
      </c>
      <c r="F291" s="195" t="s">
        <v>755</v>
      </c>
      <c r="G291" s="196" t="s">
        <v>80</v>
      </c>
      <c r="H291" s="197">
        <v>15001500</v>
      </c>
      <c r="I291" s="198"/>
      <c r="J291" s="194" t="s">
        <v>756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662</v>
      </c>
      <c r="C292" s="193" t="s">
        <v>757</v>
      </c>
      <c r="D292" s="193" t="s">
        <v>758</v>
      </c>
      <c r="E292" s="193" t="s">
        <v>78</v>
      </c>
      <c r="F292" s="195" t="s">
        <v>759</v>
      </c>
      <c r="G292" s="196" t="s">
        <v>80</v>
      </c>
      <c r="H292" s="197">
        <v>130000000</v>
      </c>
      <c r="I292" s="198"/>
      <c r="J292" s="194" t="s">
        <v>760</v>
      </c>
      <c r="K292" s="197" t="s">
        <v>761</v>
      </c>
      <c r="L292" s="199" t="s">
        <v>762</v>
      </c>
      <c r="M292" s="200" t="s">
        <v>763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90</v>
      </c>
      <c r="C293" s="193" t="s">
        <v>764</v>
      </c>
      <c r="D293" s="193" t="s">
        <v>765</v>
      </c>
      <c r="E293" s="193" t="s">
        <v>78</v>
      </c>
      <c r="F293" s="195" t="s">
        <v>766</v>
      </c>
      <c r="G293" s="196" t="s">
        <v>80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126</v>
      </c>
      <c r="C294" s="193" t="s">
        <v>767</v>
      </c>
      <c r="D294" s="193" t="s">
        <v>768</v>
      </c>
      <c r="E294" s="193" t="s">
        <v>78</v>
      </c>
      <c r="F294" s="195" t="s">
        <v>766</v>
      </c>
      <c r="G294" s="196" t="s">
        <v>80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230</v>
      </c>
      <c r="C295" s="193" t="s">
        <v>769</v>
      </c>
      <c r="D295" s="193" t="s">
        <v>770</v>
      </c>
      <c r="E295" s="193" t="s">
        <v>78</v>
      </c>
      <c r="F295" s="195" t="s">
        <v>771</v>
      </c>
      <c r="G295" s="196" t="s">
        <v>80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90</v>
      </c>
      <c r="C296" s="193" t="s">
        <v>772</v>
      </c>
      <c r="D296" s="193" t="s">
        <v>773</v>
      </c>
      <c r="E296" s="193" t="s">
        <v>78</v>
      </c>
      <c r="F296" s="195" t="s">
        <v>683</v>
      </c>
      <c r="G296" s="196" t="s">
        <v>80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423</v>
      </c>
      <c r="C297" s="193" t="s">
        <v>774</v>
      </c>
      <c r="D297" s="193" t="s">
        <v>775</v>
      </c>
      <c r="E297" s="193" t="s">
        <v>546</v>
      </c>
      <c r="F297" s="195" t="s">
        <v>776</v>
      </c>
      <c r="G297" s="196" t="s">
        <v>80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90</v>
      </c>
      <c r="C298" s="193" t="s">
        <v>777</v>
      </c>
      <c r="D298" s="193" t="s">
        <v>778</v>
      </c>
      <c r="E298" s="193" t="s">
        <v>78</v>
      </c>
      <c r="F298" s="195" t="s">
        <v>755</v>
      </c>
      <c r="G298" s="196" t="s">
        <v>80</v>
      </c>
      <c r="H298" s="197">
        <f>34500000/2</f>
        <v>17250000</v>
      </c>
      <c r="I298" s="198"/>
      <c r="J298" s="194" t="s">
        <v>779</v>
      </c>
      <c r="K298" s="197" t="s">
        <v>780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90</v>
      </c>
      <c r="C299" s="193" t="s">
        <v>781</v>
      </c>
      <c r="D299" s="193" t="s">
        <v>782</v>
      </c>
      <c r="E299" s="193" t="s">
        <v>78</v>
      </c>
      <c r="F299" s="195" t="s">
        <v>783</v>
      </c>
      <c r="G299" s="196" t="s">
        <v>80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126</v>
      </c>
      <c r="C300" s="193" t="s">
        <v>784</v>
      </c>
      <c r="D300" s="193" t="s">
        <v>785</v>
      </c>
      <c r="E300" s="193" t="s">
        <v>78</v>
      </c>
      <c r="F300" s="195" t="s">
        <v>783</v>
      </c>
      <c r="G300" s="196" t="s">
        <v>80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126</v>
      </c>
      <c r="C301" s="193" t="s">
        <v>439</v>
      </c>
      <c r="D301" s="193" t="s">
        <v>786</v>
      </c>
      <c r="E301" s="193" t="s">
        <v>78</v>
      </c>
      <c r="F301" s="195" t="s">
        <v>787</v>
      </c>
      <c r="G301" s="196" t="s">
        <v>80</v>
      </c>
      <c r="H301" s="197">
        <v>40004000</v>
      </c>
      <c r="I301" s="198"/>
      <c r="J301" s="194" t="s">
        <v>788</v>
      </c>
      <c r="K301" s="197" t="s">
        <v>789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126</v>
      </c>
      <c r="C302" s="193" t="s">
        <v>439</v>
      </c>
      <c r="D302" s="193" t="s">
        <v>790</v>
      </c>
      <c r="E302" s="193" t="s">
        <v>78</v>
      </c>
      <c r="F302" s="195" t="s">
        <v>787</v>
      </c>
      <c r="G302" s="196" t="s">
        <v>80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110</v>
      </c>
      <c r="C303" s="193" t="s">
        <v>791</v>
      </c>
      <c r="D303" s="193" t="s">
        <v>792</v>
      </c>
      <c r="E303" s="193" t="s">
        <v>484</v>
      </c>
      <c r="F303" s="195" t="s">
        <v>793</v>
      </c>
      <c r="G303" s="196" t="s">
        <v>80</v>
      </c>
      <c r="H303" s="197">
        <v>110000000</v>
      </c>
      <c r="I303" s="198"/>
      <c r="J303" s="194" t="s">
        <v>794</v>
      </c>
      <c r="K303" s="197" t="s">
        <v>795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521</v>
      </c>
      <c r="C304" s="193" t="s">
        <v>796</v>
      </c>
      <c r="D304" s="193" t="s">
        <v>797</v>
      </c>
      <c r="E304" s="193" t="s">
        <v>78</v>
      </c>
      <c r="F304" s="195" t="s">
        <v>798</v>
      </c>
      <c r="G304" s="196" t="s">
        <v>80</v>
      </c>
      <c r="H304" s="197">
        <v>8000800</v>
      </c>
      <c r="I304" s="198"/>
      <c r="J304" s="194" t="s">
        <v>799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90</v>
      </c>
      <c r="C305" s="193" t="s">
        <v>800</v>
      </c>
      <c r="D305" s="193" t="s">
        <v>801</v>
      </c>
      <c r="E305" s="193" t="s">
        <v>78</v>
      </c>
      <c r="F305" s="195" t="s">
        <v>787</v>
      </c>
      <c r="G305" s="196" t="s">
        <v>80</v>
      </c>
      <c r="H305" s="197">
        <v>0</v>
      </c>
      <c r="I305" s="198"/>
      <c r="J305" s="194" t="s">
        <v>802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331</v>
      </c>
      <c r="C306" s="193" t="s">
        <v>332</v>
      </c>
      <c r="D306" s="193" t="s">
        <v>803</v>
      </c>
      <c r="E306" s="193" t="s">
        <v>78</v>
      </c>
      <c r="F306" s="195"/>
      <c r="G306" s="196" t="s">
        <v>80</v>
      </c>
      <c r="H306" s="197"/>
      <c r="I306" s="198"/>
      <c r="J306" s="194" t="s">
        <v>804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110</v>
      </c>
      <c r="C307" s="193" t="s">
        <v>182</v>
      </c>
      <c r="D307" s="193" t="s">
        <v>805</v>
      </c>
      <c r="E307" s="193" t="s">
        <v>78</v>
      </c>
      <c r="F307" s="195" t="s">
        <v>806</v>
      </c>
      <c r="G307" s="196" t="s">
        <v>80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423</v>
      </c>
      <c r="C308" s="193" t="s">
        <v>807</v>
      </c>
      <c r="D308" s="193" t="s">
        <v>808</v>
      </c>
      <c r="E308" s="193" t="s">
        <v>78</v>
      </c>
      <c r="F308" s="195" t="s">
        <v>806</v>
      </c>
      <c r="G308" s="196" t="s">
        <v>80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90</v>
      </c>
      <c r="C309" s="193" t="s">
        <v>180</v>
      </c>
      <c r="D309" s="193" t="s">
        <v>809</v>
      </c>
      <c r="E309" s="193" t="s">
        <v>78</v>
      </c>
      <c r="F309" s="195" t="s">
        <v>810</v>
      </c>
      <c r="G309" s="196" t="s">
        <v>80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331</v>
      </c>
      <c r="C310" s="193" t="s">
        <v>332</v>
      </c>
      <c r="D310" s="193" t="s">
        <v>811</v>
      </c>
      <c r="E310" s="193" t="s">
        <v>78</v>
      </c>
      <c r="F310" s="195" t="s">
        <v>812</v>
      </c>
      <c r="G310" s="196" t="s">
        <v>80</v>
      </c>
      <c r="H310" s="197">
        <v>5650000</v>
      </c>
      <c r="I310" s="198"/>
      <c r="J310" s="194" t="s">
        <v>813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331</v>
      </c>
      <c r="C311" s="193" t="s">
        <v>332</v>
      </c>
      <c r="D311" s="193" t="s">
        <v>814</v>
      </c>
      <c r="E311" s="193" t="s">
        <v>78</v>
      </c>
      <c r="F311" s="195" t="s">
        <v>810</v>
      </c>
      <c r="G311" s="196" t="s">
        <v>80</v>
      </c>
      <c r="H311" s="197">
        <v>2450000</v>
      </c>
      <c r="I311" s="198"/>
      <c r="J311" s="194" t="s">
        <v>815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331</v>
      </c>
      <c r="C312" s="193" t="s">
        <v>816</v>
      </c>
      <c r="D312" s="193" t="s">
        <v>817</v>
      </c>
      <c r="E312" s="193" t="s">
        <v>78</v>
      </c>
      <c r="F312" s="195" t="s">
        <v>810</v>
      </c>
      <c r="G312" s="196" t="s">
        <v>80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90</v>
      </c>
      <c r="C313" s="193" t="s">
        <v>394</v>
      </c>
      <c r="D313" s="193" t="s">
        <v>818</v>
      </c>
      <c r="E313" s="193" t="s">
        <v>78</v>
      </c>
      <c r="F313" s="195" t="s">
        <v>783</v>
      </c>
      <c r="G313" s="196" t="s">
        <v>700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126</v>
      </c>
      <c r="C314" s="193" t="s">
        <v>819</v>
      </c>
      <c r="D314" s="193" t="s">
        <v>820</v>
      </c>
      <c r="E314" s="193" t="s">
        <v>78</v>
      </c>
      <c r="F314" s="195" t="s">
        <v>810</v>
      </c>
      <c r="G314" s="196" t="s">
        <v>821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126</v>
      </c>
      <c r="C315" s="193" t="s">
        <v>822</v>
      </c>
      <c r="D315" s="193" t="s">
        <v>823</v>
      </c>
      <c r="E315" s="193" t="s">
        <v>78</v>
      </c>
      <c r="F315" s="195" t="s">
        <v>798</v>
      </c>
      <c r="G315" s="196" t="s">
        <v>80</v>
      </c>
      <c r="H315" s="197">
        <v>4000400</v>
      </c>
      <c r="I315" s="198"/>
      <c r="J315" s="194" t="s">
        <v>824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331</v>
      </c>
      <c r="C316" s="193" t="s">
        <v>825</v>
      </c>
      <c r="D316" s="193" t="s">
        <v>826</v>
      </c>
      <c r="E316" s="193" t="s">
        <v>78</v>
      </c>
      <c r="F316" s="195" t="s">
        <v>810</v>
      </c>
      <c r="G316" s="196" t="s">
        <v>80</v>
      </c>
      <c r="H316" s="197">
        <v>2503000</v>
      </c>
      <c r="I316" s="198"/>
      <c r="J316" s="194" t="s">
        <v>827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357</v>
      </c>
      <c r="C317" s="193" t="s">
        <v>394</v>
      </c>
      <c r="D317" s="193" t="s">
        <v>828</v>
      </c>
      <c r="E317" s="193" t="s">
        <v>78</v>
      </c>
      <c r="F317" s="195" t="s">
        <v>829</v>
      </c>
      <c r="G317" s="196" t="s">
        <v>80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357</v>
      </c>
      <c r="C318" s="193" t="s">
        <v>394</v>
      </c>
      <c r="D318" s="193" t="s">
        <v>830</v>
      </c>
      <c r="E318" s="193" t="s">
        <v>78</v>
      </c>
      <c r="F318" s="195" t="s">
        <v>829</v>
      </c>
      <c r="G318" s="196" t="s">
        <v>80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357</v>
      </c>
      <c r="C319" s="193" t="s">
        <v>394</v>
      </c>
      <c r="D319" s="193" t="s">
        <v>831</v>
      </c>
      <c r="E319" s="193" t="s">
        <v>78</v>
      </c>
      <c r="F319" s="195" t="s">
        <v>829</v>
      </c>
      <c r="G319" s="196" t="s">
        <v>80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357</v>
      </c>
      <c r="C320" s="193" t="s">
        <v>832</v>
      </c>
      <c r="D320" s="193" t="s">
        <v>833</v>
      </c>
      <c r="E320" s="193" t="s">
        <v>78</v>
      </c>
      <c r="F320" s="195" t="s">
        <v>829</v>
      </c>
      <c r="G320" s="196" t="s">
        <v>80</v>
      </c>
      <c r="H320" s="197">
        <v>1220000</v>
      </c>
      <c r="I320" s="198"/>
      <c r="J320" s="194" t="s">
        <v>834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357</v>
      </c>
      <c r="C321" s="193" t="s">
        <v>835</v>
      </c>
      <c r="D321" s="193" t="s">
        <v>836</v>
      </c>
      <c r="E321" s="193" t="s">
        <v>78</v>
      </c>
      <c r="F321" s="195" t="s">
        <v>829</v>
      </c>
      <c r="G321" s="196" t="s">
        <v>700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357</v>
      </c>
      <c r="C322" s="193" t="s">
        <v>753</v>
      </c>
      <c r="D322" s="193" t="s">
        <v>837</v>
      </c>
      <c r="E322" s="193" t="s">
        <v>78</v>
      </c>
      <c r="F322" s="195" t="s">
        <v>429</v>
      </c>
      <c r="G322" s="196" t="s">
        <v>80</v>
      </c>
      <c r="H322" s="197">
        <v>0</v>
      </c>
      <c r="I322" s="198"/>
      <c r="J322" s="194" t="s">
        <v>838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357</v>
      </c>
      <c r="C323" s="193" t="s">
        <v>839</v>
      </c>
      <c r="D323" s="193" t="s">
        <v>840</v>
      </c>
      <c r="E323" s="193" t="s">
        <v>78</v>
      </c>
      <c r="F323" s="195"/>
      <c r="G323" s="196" t="s">
        <v>80</v>
      </c>
      <c r="H323" s="197">
        <v>0</v>
      </c>
      <c r="I323" s="198"/>
      <c r="J323" s="194" t="s">
        <v>841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314</v>
      </c>
      <c r="C324" s="193" t="s">
        <v>396</v>
      </c>
      <c r="D324" s="193" t="s">
        <v>842</v>
      </c>
      <c r="E324" s="193" t="s">
        <v>78</v>
      </c>
      <c r="F324" s="195"/>
      <c r="G324" s="196" t="s">
        <v>80</v>
      </c>
      <c r="H324" s="197">
        <v>0</v>
      </c>
      <c r="I324" s="198"/>
      <c r="J324" s="194" t="s">
        <v>841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314</v>
      </c>
      <c r="C325" s="193" t="s">
        <v>674</v>
      </c>
      <c r="D325" s="193" t="s">
        <v>843</v>
      </c>
      <c r="E325" s="193" t="s">
        <v>546</v>
      </c>
      <c r="F325" s="195" t="s">
        <v>844</v>
      </c>
      <c r="G325" s="196" t="s">
        <v>80</v>
      </c>
      <c r="H325" s="197">
        <v>300000000</v>
      </c>
      <c r="I325" s="198"/>
      <c r="J325" s="194" t="s">
        <v>845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846</v>
      </c>
      <c r="C326" s="193" t="s">
        <v>847</v>
      </c>
      <c r="D326" s="193" t="s">
        <v>848</v>
      </c>
      <c r="E326" s="193" t="s">
        <v>328</v>
      </c>
      <c r="F326" s="195" t="s">
        <v>849</v>
      </c>
      <c r="G326" s="196" t="s">
        <v>80</v>
      </c>
      <c r="H326" s="197">
        <v>30000000</v>
      </c>
      <c r="I326" s="198"/>
      <c r="J326" s="194" t="s">
        <v>850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846</v>
      </c>
      <c r="C327" s="193" t="s">
        <v>847</v>
      </c>
      <c r="D327" s="193" t="s">
        <v>848</v>
      </c>
      <c r="E327" s="193" t="s">
        <v>328</v>
      </c>
      <c r="F327" s="195" t="s">
        <v>72</v>
      </c>
      <c r="G327" s="196" t="s">
        <v>80</v>
      </c>
      <c r="H327" s="197">
        <v>26000000</v>
      </c>
      <c r="I327" s="198"/>
      <c r="J327" s="194" t="s">
        <v>850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846</v>
      </c>
      <c r="C328" s="193" t="s">
        <v>847</v>
      </c>
      <c r="D328" s="193" t="s">
        <v>851</v>
      </c>
      <c r="E328" s="193" t="s">
        <v>144</v>
      </c>
      <c r="F328" s="195" t="s">
        <v>852</v>
      </c>
      <c r="G328" s="196" t="s">
        <v>80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90</v>
      </c>
      <c r="C329" s="193" t="s">
        <v>853</v>
      </c>
      <c r="D329" s="193" t="s">
        <v>854</v>
      </c>
      <c r="E329" s="193" t="s">
        <v>78</v>
      </c>
      <c r="F329" s="195" t="s">
        <v>855</v>
      </c>
      <c r="G329" s="196" t="s">
        <v>80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110</v>
      </c>
      <c r="C330" s="193" t="s">
        <v>182</v>
      </c>
      <c r="D330" s="193" t="s">
        <v>856</v>
      </c>
      <c r="E330" s="193" t="s">
        <v>78</v>
      </c>
      <c r="F330" s="195" t="s">
        <v>857</v>
      </c>
      <c r="G330" s="196" t="s">
        <v>80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398</v>
      </c>
      <c r="C331" s="193" t="s">
        <v>858</v>
      </c>
      <c r="D331" s="193" t="s">
        <v>859</v>
      </c>
      <c r="E331" s="193" t="s">
        <v>78</v>
      </c>
      <c r="F331" s="195" t="s">
        <v>857</v>
      </c>
      <c r="G331" s="196" t="s">
        <v>80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860</v>
      </c>
      <c r="C332" s="193" t="s">
        <v>861</v>
      </c>
      <c r="D332" s="193" t="s">
        <v>862</v>
      </c>
      <c r="E332" s="193" t="s">
        <v>144</v>
      </c>
      <c r="F332" s="195" t="s">
        <v>17</v>
      </c>
      <c r="G332" s="196" t="s">
        <v>80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860</v>
      </c>
      <c r="C333" s="193" t="s">
        <v>861</v>
      </c>
      <c r="D333" s="193" t="s">
        <v>862</v>
      </c>
      <c r="E333" s="193" t="s">
        <v>144</v>
      </c>
      <c r="F333" s="195" t="s">
        <v>351</v>
      </c>
      <c r="G333" s="196" t="s">
        <v>80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352</v>
      </c>
      <c r="C334" s="193" t="s">
        <v>863</v>
      </c>
      <c r="D334" s="193" t="s">
        <v>864</v>
      </c>
      <c r="E334" s="193" t="s">
        <v>78</v>
      </c>
      <c r="F334" s="195" t="s">
        <v>865</v>
      </c>
      <c r="G334" s="196" t="s">
        <v>80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90</v>
      </c>
      <c r="C335" s="193" t="s">
        <v>866</v>
      </c>
      <c r="D335" s="193" t="s">
        <v>867</v>
      </c>
      <c r="E335" s="193" t="s">
        <v>78</v>
      </c>
      <c r="F335" s="195" t="s">
        <v>798</v>
      </c>
      <c r="G335" s="196" t="s">
        <v>80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90</v>
      </c>
      <c r="C336" s="193" t="s">
        <v>717</v>
      </c>
      <c r="D336" s="193" t="s">
        <v>868</v>
      </c>
      <c r="E336" s="193" t="s">
        <v>78</v>
      </c>
      <c r="F336" s="195" t="s">
        <v>798</v>
      </c>
      <c r="G336" s="196" t="s">
        <v>80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173</v>
      </c>
      <c r="C337" s="193" t="s">
        <v>869</v>
      </c>
      <c r="D337" s="193" t="s">
        <v>870</v>
      </c>
      <c r="E337" s="193" t="s">
        <v>78</v>
      </c>
      <c r="F337" s="195" t="s">
        <v>348</v>
      </c>
      <c r="G337" s="196" t="s">
        <v>80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314</v>
      </c>
      <c r="C338" s="193" t="s">
        <v>396</v>
      </c>
      <c r="D338" s="193" t="s">
        <v>871</v>
      </c>
      <c r="E338" s="193" t="s">
        <v>78</v>
      </c>
      <c r="F338" s="195" t="s">
        <v>348</v>
      </c>
      <c r="G338" s="196" t="s">
        <v>80</v>
      </c>
      <c r="H338" s="197">
        <v>200000</v>
      </c>
      <c r="I338" s="198"/>
      <c r="J338" s="194" t="s">
        <v>872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357</v>
      </c>
      <c r="C339" s="193" t="s">
        <v>753</v>
      </c>
      <c r="D339" s="193" t="s">
        <v>873</v>
      </c>
      <c r="E339" s="193" t="s">
        <v>78</v>
      </c>
      <c r="F339" s="195" t="s">
        <v>429</v>
      </c>
      <c r="G339" s="196" t="s">
        <v>80</v>
      </c>
      <c r="H339" s="197">
        <v>31003100</v>
      </c>
      <c r="I339" s="198"/>
      <c r="J339" s="194" t="s">
        <v>874</v>
      </c>
      <c r="K339" s="197" t="s">
        <v>875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357</v>
      </c>
      <c r="C340" s="193" t="s">
        <v>534</v>
      </c>
      <c r="D340" s="193" t="s">
        <v>876</v>
      </c>
      <c r="E340" s="193" t="s">
        <v>78</v>
      </c>
      <c r="F340" s="195" t="s">
        <v>348</v>
      </c>
      <c r="G340" s="196" t="s">
        <v>80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126</v>
      </c>
      <c r="C341" s="193" t="s">
        <v>501</v>
      </c>
      <c r="D341" s="193" t="s">
        <v>877</v>
      </c>
      <c r="E341" s="193" t="s">
        <v>144</v>
      </c>
      <c r="F341" s="195" t="s">
        <v>878</v>
      </c>
      <c r="G341" s="196" t="s">
        <v>80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126</v>
      </c>
      <c r="C342" s="193" t="s">
        <v>501</v>
      </c>
      <c r="D342" s="193" t="s">
        <v>877</v>
      </c>
      <c r="E342" s="193" t="s">
        <v>144</v>
      </c>
      <c r="F342" s="195" t="s">
        <v>651</v>
      </c>
      <c r="G342" s="196" t="s">
        <v>80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126</v>
      </c>
      <c r="C343" s="193" t="s">
        <v>501</v>
      </c>
      <c r="D343" s="193" t="s">
        <v>879</v>
      </c>
      <c r="E343" s="193" t="s">
        <v>144</v>
      </c>
      <c r="F343" s="195" t="s">
        <v>878</v>
      </c>
      <c r="G343" s="196" t="s">
        <v>80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126</v>
      </c>
      <c r="C344" s="193" t="s">
        <v>501</v>
      </c>
      <c r="D344" s="193" t="s">
        <v>879</v>
      </c>
      <c r="E344" s="193" t="s">
        <v>144</v>
      </c>
      <c r="F344" s="195" t="s">
        <v>651</v>
      </c>
      <c r="G344" s="196" t="s">
        <v>80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880</v>
      </c>
      <c r="C345" s="193" t="s">
        <v>881</v>
      </c>
      <c r="D345" s="193" t="s">
        <v>882</v>
      </c>
      <c r="E345" s="193" t="s">
        <v>144</v>
      </c>
      <c r="F345" s="195" t="s">
        <v>883</v>
      </c>
      <c r="G345" s="196" t="s">
        <v>80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357</v>
      </c>
      <c r="C346" s="193" t="s">
        <v>698</v>
      </c>
      <c r="D346" s="193" t="s">
        <v>884</v>
      </c>
      <c r="E346" s="193" t="s">
        <v>78</v>
      </c>
      <c r="F346" s="195" t="s">
        <v>348</v>
      </c>
      <c r="G346" s="196" t="s">
        <v>80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357</v>
      </c>
      <c r="C347" s="193" t="s">
        <v>698</v>
      </c>
      <c r="D347" s="193" t="s">
        <v>885</v>
      </c>
      <c r="E347" s="193" t="s">
        <v>78</v>
      </c>
      <c r="F347" s="195" t="s">
        <v>348</v>
      </c>
      <c r="G347" s="196" t="s">
        <v>80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90</v>
      </c>
      <c r="C348" s="193" t="s">
        <v>866</v>
      </c>
      <c r="D348" s="193" t="s">
        <v>886</v>
      </c>
      <c r="E348" s="193" t="s">
        <v>78</v>
      </c>
      <c r="F348" s="195" t="s">
        <v>348</v>
      </c>
      <c r="G348" s="196" t="s">
        <v>80</v>
      </c>
      <c r="H348" s="197">
        <v>0</v>
      </c>
      <c r="I348" s="198"/>
      <c r="J348" s="194" t="s">
        <v>887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126</v>
      </c>
      <c r="C349" s="193" t="s">
        <v>579</v>
      </c>
      <c r="D349" s="193" t="s">
        <v>888</v>
      </c>
      <c r="E349" s="193" t="s">
        <v>78</v>
      </c>
      <c r="F349" s="195" t="s">
        <v>348</v>
      </c>
      <c r="G349" s="196" t="s">
        <v>80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90</v>
      </c>
      <c r="C350" s="193" t="s">
        <v>889</v>
      </c>
      <c r="D350" s="193" t="s">
        <v>890</v>
      </c>
      <c r="E350" s="193" t="s">
        <v>78</v>
      </c>
      <c r="F350" s="195" t="s">
        <v>348</v>
      </c>
      <c r="G350" s="196" t="s">
        <v>80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230</v>
      </c>
      <c r="C351" s="193" t="s">
        <v>891</v>
      </c>
      <c r="D351" s="193" t="s">
        <v>892</v>
      </c>
      <c r="E351" s="193" t="s">
        <v>78</v>
      </c>
      <c r="F351" s="195" t="s">
        <v>883</v>
      </c>
      <c r="G351" s="196" t="s">
        <v>80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398</v>
      </c>
      <c r="C352" s="193" t="s">
        <v>219</v>
      </c>
      <c r="D352" s="193" t="s">
        <v>893</v>
      </c>
      <c r="E352" s="193" t="s">
        <v>78</v>
      </c>
      <c r="F352" s="195" t="s">
        <v>894</v>
      </c>
      <c r="G352" s="196" t="s">
        <v>80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398</v>
      </c>
      <c r="C353" s="193" t="s">
        <v>895</v>
      </c>
      <c r="D353" s="193" t="s">
        <v>896</v>
      </c>
      <c r="E353" s="193" t="s">
        <v>78</v>
      </c>
      <c r="F353" s="195" t="s">
        <v>894</v>
      </c>
      <c r="G353" s="196" t="s">
        <v>80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173</v>
      </c>
      <c r="C354" s="193" t="s">
        <v>897</v>
      </c>
      <c r="D354" s="193" t="s">
        <v>898</v>
      </c>
      <c r="E354" s="193" t="s">
        <v>78</v>
      </c>
      <c r="F354" s="195" t="s">
        <v>812</v>
      </c>
      <c r="G354" s="196" t="s">
        <v>80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173</v>
      </c>
      <c r="C355" s="193" t="s">
        <v>897</v>
      </c>
      <c r="D355" s="193" t="s">
        <v>899</v>
      </c>
      <c r="E355" s="193" t="s">
        <v>78</v>
      </c>
      <c r="F355" s="195" t="s">
        <v>812</v>
      </c>
      <c r="G355" s="196" t="s">
        <v>80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173</v>
      </c>
      <c r="C356" s="193" t="s">
        <v>897</v>
      </c>
      <c r="D356" s="193" t="s">
        <v>900</v>
      </c>
      <c r="E356" s="193" t="s">
        <v>144</v>
      </c>
      <c r="F356" s="195" t="s">
        <v>429</v>
      </c>
      <c r="G356" s="196" t="s">
        <v>80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846</v>
      </c>
      <c r="C357" s="193" t="s">
        <v>901</v>
      </c>
      <c r="D357" s="193" t="s">
        <v>902</v>
      </c>
      <c r="E357" s="193" t="s">
        <v>78</v>
      </c>
      <c r="F357" s="195" t="s">
        <v>812</v>
      </c>
      <c r="G357" s="196" t="s">
        <v>80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846</v>
      </c>
      <c r="C358" s="193" t="s">
        <v>903</v>
      </c>
      <c r="D358" s="193" t="s">
        <v>904</v>
      </c>
      <c r="E358" s="193" t="s">
        <v>78</v>
      </c>
      <c r="F358" s="195" t="s">
        <v>905</v>
      </c>
      <c r="G358" s="196" t="s">
        <v>80</v>
      </c>
      <c r="H358" s="197">
        <v>7502000</v>
      </c>
      <c r="I358" s="198"/>
      <c r="J358" s="194" t="s">
        <v>906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846</v>
      </c>
      <c r="C359" s="193" t="s">
        <v>907</v>
      </c>
      <c r="D359" s="193" t="s">
        <v>908</v>
      </c>
      <c r="E359" s="193" t="s">
        <v>78</v>
      </c>
      <c r="F359" s="195" t="s">
        <v>812</v>
      </c>
      <c r="G359" s="196" t="s">
        <v>80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860</v>
      </c>
      <c r="C360" s="193" t="s">
        <v>861</v>
      </c>
      <c r="D360" s="193" t="s">
        <v>909</v>
      </c>
      <c r="E360" s="193" t="s">
        <v>144</v>
      </c>
      <c r="F360" s="195" t="s">
        <v>812</v>
      </c>
      <c r="G360" s="196" t="s">
        <v>80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860</v>
      </c>
      <c r="C361" s="193" t="s">
        <v>910</v>
      </c>
      <c r="D361" s="193" t="s">
        <v>911</v>
      </c>
      <c r="E361" s="193" t="s">
        <v>78</v>
      </c>
      <c r="F361" s="195" t="s">
        <v>812</v>
      </c>
      <c r="G361" s="196" t="s">
        <v>80</v>
      </c>
      <c r="H361" s="197">
        <v>12000000</v>
      </c>
      <c r="I361" s="198"/>
      <c r="J361" s="194" t="s">
        <v>912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173</v>
      </c>
      <c r="C362" s="193" t="s">
        <v>897</v>
      </c>
      <c r="D362" s="193" t="s">
        <v>913</v>
      </c>
      <c r="E362" s="193" t="s">
        <v>78</v>
      </c>
      <c r="F362" s="195" t="s">
        <v>429</v>
      </c>
      <c r="G362" s="196" t="s">
        <v>80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860</v>
      </c>
      <c r="C363" s="193" t="s">
        <v>914</v>
      </c>
      <c r="D363" s="193" t="s">
        <v>915</v>
      </c>
      <c r="E363" s="193" t="s">
        <v>328</v>
      </c>
      <c r="F363" s="195" t="s">
        <v>916</v>
      </c>
      <c r="G363" s="196" t="s">
        <v>80</v>
      </c>
      <c r="H363" s="197">
        <v>35000000</v>
      </c>
      <c r="I363" s="198"/>
      <c r="J363" s="194" t="s">
        <v>850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860</v>
      </c>
      <c r="C364" s="193" t="s">
        <v>914</v>
      </c>
      <c r="D364" s="193" t="s">
        <v>917</v>
      </c>
      <c r="E364" s="193" t="s">
        <v>328</v>
      </c>
      <c r="F364" s="195" t="s">
        <v>918</v>
      </c>
      <c r="G364" s="196" t="s">
        <v>80</v>
      </c>
      <c r="H364" s="197">
        <v>28300000</v>
      </c>
      <c r="I364" s="198"/>
      <c r="J364" s="194" t="s">
        <v>850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75</v>
      </c>
      <c r="C365" s="193" t="s">
        <v>482</v>
      </c>
      <c r="D365" s="193" t="s">
        <v>919</v>
      </c>
      <c r="E365" s="193" t="s">
        <v>78</v>
      </c>
      <c r="F365" s="195" t="s">
        <v>905</v>
      </c>
      <c r="G365" s="196" t="s">
        <v>80</v>
      </c>
      <c r="H365" s="197">
        <v>100000000</v>
      </c>
      <c r="I365" s="198"/>
      <c r="J365" s="194" t="s">
        <v>920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352</v>
      </c>
      <c r="C366" s="193" t="s">
        <v>921</v>
      </c>
      <c r="D366" s="193" t="s">
        <v>922</v>
      </c>
      <c r="E366" s="193" t="s">
        <v>78</v>
      </c>
      <c r="F366" s="195" t="s">
        <v>429</v>
      </c>
      <c r="G366" s="196" t="s">
        <v>80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126</v>
      </c>
      <c r="C367" s="193" t="s">
        <v>923</v>
      </c>
      <c r="D367" s="193" t="s">
        <v>924</v>
      </c>
      <c r="E367" s="193" t="s">
        <v>78</v>
      </c>
      <c r="F367" s="195" t="s">
        <v>878</v>
      </c>
      <c r="G367" s="196" t="s">
        <v>80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521</v>
      </c>
      <c r="C368" s="193" t="s">
        <v>925</v>
      </c>
      <c r="D368" s="193" t="s">
        <v>926</v>
      </c>
      <c r="E368" s="193" t="s">
        <v>546</v>
      </c>
      <c r="F368" s="194" t="s">
        <v>776</v>
      </c>
      <c r="G368" s="196" t="s">
        <v>80</v>
      </c>
      <c r="H368" s="197">
        <v>119000000</v>
      </c>
      <c r="I368" s="198"/>
      <c r="J368" s="194" t="s">
        <v>927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126</v>
      </c>
      <c r="C369" s="193" t="s">
        <v>504</v>
      </c>
      <c r="D369" s="193" t="s">
        <v>928</v>
      </c>
      <c r="E369" s="193" t="s">
        <v>78</v>
      </c>
      <c r="F369" s="195" t="s">
        <v>651</v>
      </c>
      <c r="G369" s="196" t="s">
        <v>80</v>
      </c>
      <c r="H369" s="197">
        <v>0</v>
      </c>
      <c r="I369" s="198"/>
      <c r="J369" s="194" t="s">
        <v>929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90</v>
      </c>
      <c r="C370" s="193" t="s">
        <v>930</v>
      </c>
      <c r="D370" s="193" t="s">
        <v>931</v>
      </c>
      <c r="E370" s="193" t="s">
        <v>78</v>
      </c>
      <c r="F370" s="195" t="s">
        <v>707</v>
      </c>
      <c r="G370" s="196" t="s">
        <v>80</v>
      </c>
      <c r="H370" s="197">
        <v>0</v>
      </c>
      <c r="I370" s="198"/>
      <c r="J370" s="194" t="s">
        <v>932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90</v>
      </c>
      <c r="C371" s="193" t="s">
        <v>933</v>
      </c>
      <c r="D371" s="193" t="s">
        <v>934</v>
      </c>
      <c r="E371" s="193" t="s">
        <v>78</v>
      </c>
      <c r="F371" s="195" t="s">
        <v>707</v>
      </c>
      <c r="G371" s="196" t="s">
        <v>80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90</v>
      </c>
      <c r="C372" s="193" t="s">
        <v>933</v>
      </c>
      <c r="D372" s="193" t="s">
        <v>935</v>
      </c>
      <c r="E372" s="193" t="s">
        <v>546</v>
      </c>
      <c r="F372" s="195" t="s">
        <v>936</v>
      </c>
      <c r="G372" s="196" t="s">
        <v>80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662</v>
      </c>
      <c r="C373" s="193" t="s">
        <v>937</v>
      </c>
      <c r="D373" s="193" t="s">
        <v>938</v>
      </c>
      <c r="E373" s="193" t="s">
        <v>78</v>
      </c>
      <c r="F373" s="195" t="s">
        <v>939</v>
      </c>
      <c r="G373" s="196" t="s">
        <v>80</v>
      </c>
      <c r="H373" s="197">
        <v>130000000</v>
      </c>
      <c r="I373" s="198"/>
      <c r="J373" s="194" t="s">
        <v>940</v>
      </c>
      <c r="K373" s="197" t="s">
        <v>941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126</v>
      </c>
      <c r="C374" s="193" t="s">
        <v>923</v>
      </c>
      <c r="D374" s="193" t="s">
        <v>924</v>
      </c>
      <c r="E374" s="193" t="s">
        <v>78</v>
      </c>
      <c r="F374" s="195" t="s">
        <v>793</v>
      </c>
      <c r="G374" s="196" t="s">
        <v>80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357</v>
      </c>
      <c r="C375" s="193" t="s">
        <v>942</v>
      </c>
      <c r="D375" s="193" t="s">
        <v>943</v>
      </c>
      <c r="E375" s="193" t="s">
        <v>78</v>
      </c>
      <c r="F375" s="195" t="s">
        <v>944</v>
      </c>
      <c r="G375" s="196" t="s">
        <v>80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357</v>
      </c>
      <c r="C376" s="193" t="s">
        <v>945</v>
      </c>
      <c r="D376" s="193" t="s">
        <v>946</v>
      </c>
      <c r="E376" s="193" t="s">
        <v>78</v>
      </c>
      <c r="F376" s="195" t="s">
        <v>944</v>
      </c>
      <c r="G376" s="196" t="s">
        <v>80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357</v>
      </c>
      <c r="C377" s="193" t="s">
        <v>631</v>
      </c>
      <c r="D377" s="193" t="s">
        <v>947</v>
      </c>
      <c r="E377" s="193" t="s">
        <v>78</v>
      </c>
      <c r="F377" s="195" t="s">
        <v>944</v>
      </c>
      <c r="G377" s="196" t="s">
        <v>80</v>
      </c>
      <c r="H377" s="197">
        <v>300000</v>
      </c>
      <c r="I377" s="198"/>
      <c r="J377" s="194" t="s">
        <v>948</v>
      </c>
      <c r="K377" s="202" t="s">
        <v>949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314</v>
      </c>
      <c r="C378" s="193" t="s">
        <v>631</v>
      </c>
      <c r="D378" s="193" t="s">
        <v>950</v>
      </c>
      <c r="E378" s="193" t="s">
        <v>78</v>
      </c>
      <c r="F378" s="195" t="s">
        <v>944</v>
      </c>
      <c r="G378" s="196" t="s">
        <v>80</v>
      </c>
      <c r="H378" s="197">
        <v>100000</v>
      </c>
      <c r="I378" s="198"/>
      <c r="J378" s="194" t="s">
        <v>951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357</v>
      </c>
      <c r="C379" s="193" t="s">
        <v>952</v>
      </c>
      <c r="D379" s="193" t="s">
        <v>953</v>
      </c>
      <c r="E379" s="193" t="s">
        <v>78</v>
      </c>
      <c r="F379" s="195" t="s">
        <v>944</v>
      </c>
      <c r="G379" s="196" t="s">
        <v>80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357</v>
      </c>
      <c r="C380" s="193" t="s">
        <v>536</v>
      </c>
      <c r="D380" s="193" t="s">
        <v>954</v>
      </c>
      <c r="E380" s="193" t="s">
        <v>78</v>
      </c>
      <c r="F380" s="195" t="s">
        <v>17</v>
      </c>
      <c r="G380" s="196" t="s">
        <v>80</v>
      </c>
      <c r="H380" s="197">
        <v>15001500</v>
      </c>
      <c r="I380" s="198"/>
      <c r="J380" s="194" t="s">
        <v>955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521</v>
      </c>
      <c r="C381" s="193" t="s">
        <v>956</v>
      </c>
      <c r="D381" s="193" t="s">
        <v>957</v>
      </c>
      <c r="E381" s="193" t="s">
        <v>78</v>
      </c>
      <c r="F381" s="195" t="s">
        <v>17</v>
      </c>
      <c r="G381" s="196" t="s">
        <v>80</v>
      </c>
      <c r="H381" s="197">
        <v>10001000</v>
      </c>
      <c r="I381" s="198"/>
      <c r="J381" s="194" t="s">
        <v>958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314</v>
      </c>
      <c r="C382" s="193" t="s">
        <v>959</v>
      </c>
      <c r="D382" s="193" t="s">
        <v>960</v>
      </c>
      <c r="E382" s="193" t="s">
        <v>78</v>
      </c>
      <c r="F382" s="195"/>
      <c r="G382" s="196"/>
      <c r="H382" s="197"/>
      <c r="I382" s="198"/>
      <c r="J382" s="194" t="s">
        <v>961</v>
      </c>
      <c r="K382" s="197" t="s">
        <v>962</v>
      </c>
      <c r="L382" s="203" t="s">
        <v>963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521</v>
      </c>
      <c r="C383" s="193" t="s">
        <v>964</v>
      </c>
      <c r="D383" s="193" t="s">
        <v>965</v>
      </c>
      <c r="E383" s="193"/>
      <c r="F383" s="195"/>
      <c r="G383" s="196"/>
      <c r="H383" s="197"/>
      <c r="I383" s="198"/>
      <c r="J383" s="194" t="s">
        <v>966</v>
      </c>
      <c r="K383" s="197"/>
      <c r="L383" s="203" t="s">
        <v>967</v>
      </c>
      <c r="M383" s="200" t="s">
        <v>968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126</v>
      </c>
      <c r="C384" s="193" t="s">
        <v>668</v>
      </c>
      <c r="D384" s="193" t="s">
        <v>969</v>
      </c>
      <c r="E384" s="193" t="s">
        <v>78</v>
      </c>
      <c r="F384" s="195" t="s">
        <v>970</v>
      </c>
      <c r="G384" s="196" t="s">
        <v>80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126</v>
      </c>
      <c r="C385" s="193" t="s">
        <v>971</v>
      </c>
      <c r="D385" s="193" t="s">
        <v>972</v>
      </c>
      <c r="E385" s="193" t="s">
        <v>78</v>
      </c>
      <c r="F385" s="195" t="s">
        <v>973</v>
      </c>
      <c r="G385" s="196" t="s">
        <v>80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90</v>
      </c>
      <c r="C386" s="193" t="s">
        <v>974</v>
      </c>
      <c r="D386" s="193" t="s">
        <v>975</v>
      </c>
      <c r="E386" s="193" t="s">
        <v>78</v>
      </c>
      <c r="F386" s="195" t="s">
        <v>973</v>
      </c>
      <c r="G386" s="196" t="s">
        <v>80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90</v>
      </c>
      <c r="C387" s="193" t="s">
        <v>976</v>
      </c>
      <c r="D387" s="193" t="s">
        <v>977</v>
      </c>
      <c r="E387" s="193" t="s">
        <v>78</v>
      </c>
      <c r="F387" s="195" t="s">
        <v>973</v>
      </c>
      <c r="G387" s="196" t="s">
        <v>80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978</v>
      </c>
      <c r="C388" s="193" t="s">
        <v>979</v>
      </c>
      <c r="D388" s="193" t="s">
        <v>980</v>
      </c>
      <c r="E388" s="193" t="s">
        <v>328</v>
      </c>
      <c r="F388" s="195" t="s">
        <v>981</v>
      </c>
      <c r="G388" s="196" t="s">
        <v>80</v>
      </c>
      <c r="H388" s="197">
        <v>44700000</v>
      </c>
      <c r="I388" s="198"/>
      <c r="J388" s="194" t="s">
        <v>982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978</v>
      </c>
      <c r="C389" s="193" t="s">
        <v>979</v>
      </c>
      <c r="D389" s="193" t="s">
        <v>983</v>
      </c>
      <c r="E389" s="193" t="s">
        <v>328</v>
      </c>
      <c r="F389" s="195" t="s">
        <v>984</v>
      </c>
      <c r="G389" s="196" t="s">
        <v>80</v>
      </c>
      <c r="H389" s="197">
        <v>21000000</v>
      </c>
      <c r="I389" s="198"/>
      <c r="J389" s="194" t="s">
        <v>985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978</v>
      </c>
      <c r="C390" s="193" t="s">
        <v>979</v>
      </c>
      <c r="D390" s="193" t="s">
        <v>986</v>
      </c>
      <c r="E390" s="193" t="s">
        <v>546</v>
      </c>
      <c r="F390" s="195" t="s">
        <v>987</v>
      </c>
      <c r="G390" s="196" t="s">
        <v>80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978</v>
      </c>
      <c r="C391" s="193" t="s">
        <v>979</v>
      </c>
      <c r="D391" s="193" t="s">
        <v>988</v>
      </c>
      <c r="E391" s="193" t="s">
        <v>546</v>
      </c>
      <c r="F391" s="195" t="s">
        <v>989</v>
      </c>
      <c r="G391" s="196" t="s">
        <v>80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978</v>
      </c>
      <c r="C392" s="193" t="s">
        <v>979</v>
      </c>
      <c r="D392" s="193" t="s">
        <v>990</v>
      </c>
      <c r="E392" s="193" t="s">
        <v>546</v>
      </c>
      <c r="F392" s="195" t="s">
        <v>991</v>
      </c>
      <c r="G392" s="196" t="s">
        <v>80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978</v>
      </c>
      <c r="C393" s="193" t="s">
        <v>979</v>
      </c>
      <c r="D393" s="193" t="s">
        <v>992</v>
      </c>
      <c r="E393" s="193" t="s">
        <v>546</v>
      </c>
      <c r="F393" s="195" t="s">
        <v>993</v>
      </c>
      <c r="G393" s="196" t="s">
        <v>80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90</v>
      </c>
      <c r="C394" s="193" t="s">
        <v>994</v>
      </c>
      <c r="D394" s="193" t="s">
        <v>995</v>
      </c>
      <c r="E394" s="193" t="s">
        <v>78</v>
      </c>
      <c r="F394" s="195" t="s">
        <v>996</v>
      </c>
      <c r="G394" s="196" t="s">
        <v>80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90</v>
      </c>
      <c r="C395" s="193" t="s">
        <v>997</v>
      </c>
      <c r="D395" s="193" t="s">
        <v>998</v>
      </c>
      <c r="E395" s="193" t="s">
        <v>78</v>
      </c>
      <c r="F395" s="195" t="s">
        <v>852</v>
      </c>
      <c r="G395" s="196" t="s">
        <v>80</v>
      </c>
      <c r="H395" s="197">
        <v>1000300</v>
      </c>
      <c r="I395" s="198"/>
      <c r="J395" s="194" t="s">
        <v>958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999</v>
      </c>
      <c r="C396" s="193" t="s">
        <v>1000</v>
      </c>
      <c r="D396" s="193" t="s">
        <v>1001</v>
      </c>
      <c r="E396" s="193" t="s">
        <v>546</v>
      </c>
      <c r="F396" s="195" t="s">
        <v>1002</v>
      </c>
      <c r="G396" s="196" t="s">
        <v>80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999</v>
      </c>
      <c r="C397" s="193" t="s">
        <v>1000</v>
      </c>
      <c r="D397" s="193" t="s">
        <v>1003</v>
      </c>
      <c r="E397" s="193" t="s">
        <v>546</v>
      </c>
      <c r="F397" s="195" t="s">
        <v>1004</v>
      </c>
      <c r="G397" s="196" t="s">
        <v>80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999</v>
      </c>
      <c r="C398" s="193" t="s">
        <v>1000</v>
      </c>
      <c r="D398" s="193" t="s">
        <v>1005</v>
      </c>
      <c r="E398" s="193" t="s">
        <v>546</v>
      </c>
      <c r="F398" s="195" t="s">
        <v>1006</v>
      </c>
      <c r="G398" s="196" t="s">
        <v>80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999</v>
      </c>
      <c r="C399" s="193" t="s">
        <v>1000</v>
      </c>
      <c r="D399" s="193" t="s">
        <v>1007</v>
      </c>
      <c r="E399" s="193" t="s">
        <v>546</v>
      </c>
      <c r="F399" s="195" t="s">
        <v>1008</v>
      </c>
      <c r="G399" s="196" t="s">
        <v>80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999</v>
      </c>
      <c r="C400" s="193" t="s">
        <v>1000</v>
      </c>
      <c r="D400" s="193" t="s">
        <v>1009</v>
      </c>
      <c r="E400" s="193" t="s">
        <v>546</v>
      </c>
      <c r="F400" s="195" t="s">
        <v>1010</v>
      </c>
      <c r="G400" s="196" t="s">
        <v>80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999</v>
      </c>
      <c r="C401" s="193" t="s">
        <v>1000</v>
      </c>
      <c r="D401" s="193" t="s">
        <v>1011</v>
      </c>
      <c r="E401" s="193" t="s">
        <v>546</v>
      </c>
      <c r="F401" s="195" t="s">
        <v>1012</v>
      </c>
      <c r="G401" s="196" t="s">
        <v>80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423</v>
      </c>
      <c r="C402" s="193" t="s">
        <v>1013</v>
      </c>
      <c r="D402" s="193" t="s">
        <v>1014</v>
      </c>
      <c r="E402" s="193" t="s">
        <v>78</v>
      </c>
      <c r="F402" s="195" t="s">
        <v>1015</v>
      </c>
      <c r="G402" s="196" t="s">
        <v>80</v>
      </c>
      <c r="H402" s="197">
        <v>1605000</v>
      </c>
      <c r="I402" s="198"/>
      <c r="J402" s="194" t="s">
        <v>1016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423</v>
      </c>
      <c r="C403" s="193" t="s">
        <v>1013</v>
      </c>
      <c r="D403" s="193" t="s">
        <v>1017</v>
      </c>
      <c r="E403" s="193" t="s">
        <v>78</v>
      </c>
      <c r="F403" s="195" t="s">
        <v>1015</v>
      </c>
      <c r="G403" s="196" t="s">
        <v>80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423</v>
      </c>
      <c r="C404" s="193" t="s">
        <v>1013</v>
      </c>
      <c r="D404" s="193" t="s">
        <v>1018</v>
      </c>
      <c r="E404" s="193" t="s">
        <v>78</v>
      </c>
      <c r="F404" s="195" t="s">
        <v>1015</v>
      </c>
      <c r="G404" s="196" t="s">
        <v>80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423</v>
      </c>
      <c r="C405" s="193" t="s">
        <v>1013</v>
      </c>
      <c r="D405" s="193" t="s">
        <v>1019</v>
      </c>
      <c r="E405" s="193" t="s">
        <v>78</v>
      </c>
      <c r="F405" s="195" t="s">
        <v>1015</v>
      </c>
      <c r="G405" s="196" t="s">
        <v>80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90</v>
      </c>
      <c r="C406" s="193" t="s">
        <v>1020</v>
      </c>
      <c r="D406" s="193" t="s">
        <v>1021</v>
      </c>
      <c r="E406" s="193" t="s">
        <v>328</v>
      </c>
      <c r="F406" s="195" t="s">
        <v>1022</v>
      </c>
      <c r="G406" s="196" t="s">
        <v>80</v>
      </c>
      <c r="H406" s="197">
        <v>34000000</v>
      </c>
      <c r="I406" s="198"/>
      <c r="J406" s="194" t="s">
        <v>1023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252</v>
      </c>
      <c r="C407" s="193" t="s">
        <v>942</v>
      </c>
      <c r="D407" s="193" t="s">
        <v>1024</v>
      </c>
      <c r="E407" s="193" t="s">
        <v>78</v>
      </c>
      <c r="F407" s="195" t="s">
        <v>1025</v>
      </c>
      <c r="G407" s="196" t="s">
        <v>80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252</v>
      </c>
      <c r="C408" s="193" t="s">
        <v>1026</v>
      </c>
      <c r="D408" s="193" t="s">
        <v>1027</v>
      </c>
      <c r="E408" s="193" t="s">
        <v>78</v>
      </c>
      <c r="F408" s="195" t="s">
        <v>1028</v>
      </c>
      <c r="G408" s="196" t="s">
        <v>80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252</v>
      </c>
      <c r="C409" s="193" t="s">
        <v>1026</v>
      </c>
      <c r="D409" s="193" t="s">
        <v>1029</v>
      </c>
      <c r="E409" s="193" t="s">
        <v>78</v>
      </c>
      <c r="F409" s="195" t="s">
        <v>1025</v>
      </c>
      <c r="G409" s="196" t="s">
        <v>80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90</v>
      </c>
      <c r="C410" s="193" t="s">
        <v>1030</v>
      </c>
      <c r="D410" s="193" t="s">
        <v>1031</v>
      </c>
      <c r="E410" s="193" t="s">
        <v>78</v>
      </c>
      <c r="F410" s="195" t="s">
        <v>1025</v>
      </c>
      <c r="G410" s="196" t="s">
        <v>80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252</v>
      </c>
      <c r="C411" s="193" t="s">
        <v>1032</v>
      </c>
      <c r="D411" s="193" t="s">
        <v>1033</v>
      </c>
      <c r="E411" s="193" t="s">
        <v>78</v>
      </c>
      <c r="F411" s="195" t="s">
        <v>1025</v>
      </c>
      <c r="G411" s="196" t="s">
        <v>80</v>
      </c>
      <c r="H411" s="197">
        <v>1603000</v>
      </c>
      <c r="I411" s="198"/>
      <c r="J411" s="194" t="s">
        <v>1034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252</v>
      </c>
      <c r="C412" s="193" t="s">
        <v>1032</v>
      </c>
      <c r="D412" s="193" t="s">
        <v>1035</v>
      </c>
      <c r="E412" s="193" t="s">
        <v>78</v>
      </c>
      <c r="F412" s="195" t="s">
        <v>1025</v>
      </c>
      <c r="G412" s="196" t="s">
        <v>80</v>
      </c>
      <c r="H412" s="197"/>
      <c r="I412" s="198"/>
      <c r="J412" s="194" t="s">
        <v>1036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90</v>
      </c>
      <c r="C413" s="193" t="s">
        <v>1037</v>
      </c>
      <c r="D413" s="193" t="s">
        <v>1038</v>
      </c>
      <c r="E413" s="193" t="s">
        <v>78</v>
      </c>
      <c r="F413" s="195" t="s">
        <v>1028</v>
      </c>
      <c r="G413" s="196" t="s">
        <v>700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252</v>
      </c>
      <c r="C414" s="193" t="s">
        <v>213</v>
      </c>
      <c r="D414" s="193" t="s">
        <v>1039</v>
      </c>
      <c r="E414" s="193" t="s">
        <v>78</v>
      </c>
      <c r="F414" s="195" t="s">
        <v>1040</v>
      </c>
      <c r="G414" s="196" t="s">
        <v>80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252</v>
      </c>
      <c r="C415" s="193" t="s">
        <v>213</v>
      </c>
      <c r="D415" s="193" t="s">
        <v>1041</v>
      </c>
      <c r="E415" s="193" t="s">
        <v>78</v>
      </c>
      <c r="F415" s="195" t="s">
        <v>1040</v>
      </c>
      <c r="G415" s="196" t="s">
        <v>80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252</v>
      </c>
      <c r="C416" s="193" t="s">
        <v>213</v>
      </c>
      <c r="D416" s="193" t="s">
        <v>1042</v>
      </c>
      <c r="E416" s="193" t="s">
        <v>78</v>
      </c>
      <c r="F416" s="195" t="s">
        <v>1040</v>
      </c>
      <c r="G416" s="196" t="s">
        <v>80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252</v>
      </c>
      <c r="C417" s="193" t="s">
        <v>213</v>
      </c>
      <c r="D417" s="193" t="s">
        <v>1043</v>
      </c>
      <c r="E417" s="193" t="s">
        <v>78</v>
      </c>
      <c r="F417" s="195" t="s">
        <v>1040</v>
      </c>
      <c r="G417" s="196" t="s">
        <v>80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252</v>
      </c>
      <c r="C418" s="193" t="s">
        <v>1032</v>
      </c>
      <c r="D418" s="193" t="s">
        <v>1044</v>
      </c>
      <c r="E418" s="193" t="s">
        <v>78</v>
      </c>
      <c r="F418" s="195" t="s">
        <v>1040</v>
      </c>
      <c r="G418" s="196" t="s">
        <v>80</v>
      </c>
      <c r="H418" s="197"/>
      <c r="I418" s="198"/>
      <c r="J418" s="194" t="s">
        <v>1045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252</v>
      </c>
      <c r="C419" s="193" t="s">
        <v>1032</v>
      </c>
      <c r="D419" s="193" t="s">
        <v>1046</v>
      </c>
      <c r="E419" s="193" t="s">
        <v>78</v>
      </c>
      <c r="F419" s="195" t="s">
        <v>1040</v>
      </c>
      <c r="G419" s="196" t="s">
        <v>80</v>
      </c>
      <c r="H419" s="197">
        <v>3000000</v>
      </c>
      <c r="I419" s="198"/>
      <c r="J419" s="194" t="s">
        <v>1045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252</v>
      </c>
      <c r="C420" s="193" t="s">
        <v>945</v>
      </c>
      <c r="D420" s="193" t="s">
        <v>1047</v>
      </c>
      <c r="E420" s="193" t="s">
        <v>78</v>
      </c>
      <c r="F420" s="195" t="s">
        <v>852</v>
      </c>
      <c r="G420" s="196" t="s">
        <v>80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252</v>
      </c>
      <c r="C421" s="193" t="s">
        <v>1026</v>
      </c>
      <c r="D421" s="193" t="s">
        <v>1048</v>
      </c>
      <c r="E421" s="193" t="s">
        <v>78</v>
      </c>
      <c r="F421" s="195" t="s">
        <v>852</v>
      </c>
      <c r="G421" s="196" t="s">
        <v>80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252</v>
      </c>
      <c r="C422" s="193" t="s">
        <v>219</v>
      </c>
      <c r="D422" s="193" t="s">
        <v>1049</v>
      </c>
      <c r="E422" s="193" t="s">
        <v>78</v>
      </c>
      <c r="F422" s="195" t="s">
        <v>852</v>
      </c>
      <c r="G422" s="196" t="s">
        <v>80</v>
      </c>
      <c r="H422" s="197">
        <v>3200640</v>
      </c>
      <c r="I422" s="198"/>
      <c r="J422" s="194" t="s">
        <v>1045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252</v>
      </c>
      <c r="C423" s="193" t="s">
        <v>219</v>
      </c>
      <c r="D423" s="193" t="s">
        <v>1050</v>
      </c>
      <c r="E423" s="193" t="s">
        <v>78</v>
      </c>
      <c r="F423" s="195" t="s">
        <v>852</v>
      </c>
      <c r="G423" s="196" t="s">
        <v>80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90</v>
      </c>
      <c r="C424" s="193" t="s">
        <v>745</v>
      </c>
      <c r="D424" s="193" t="s">
        <v>1051</v>
      </c>
      <c r="E424" s="193" t="s">
        <v>78</v>
      </c>
      <c r="F424" s="195" t="s">
        <v>1052</v>
      </c>
      <c r="G424" s="196" t="s">
        <v>80</v>
      </c>
      <c r="H424" s="197">
        <v>3000000</v>
      </c>
      <c r="I424" s="198"/>
      <c r="J424" s="194" t="s">
        <v>1053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423</v>
      </c>
      <c r="C425" s="193" t="s">
        <v>1013</v>
      </c>
      <c r="D425" s="193" t="s">
        <v>1054</v>
      </c>
      <c r="E425" s="193" t="s">
        <v>78</v>
      </c>
      <c r="F425" s="195" t="s">
        <v>64</v>
      </c>
      <c r="G425" s="196" t="s">
        <v>80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252</v>
      </c>
      <c r="C426" s="193" t="s">
        <v>213</v>
      </c>
      <c r="D426" s="193" t="s">
        <v>1055</v>
      </c>
      <c r="E426" s="193" t="s">
        <v>78</v>
      </c>
      <c r="F426" s="195" t="s">
        <v>64</v>
      </c>
      <c r="G426" s="196" t="s">
        <v>80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252</v>
      </c>
      <c r="C427" s="193" t="s">
        <v>213</v>
      </c>
      <c r="D427" s="193" t="s">
        <v>1056</v>
      </c>
      <c r="E427" s="193" t="s">
        <v>78</v>
      </c>
      <c r="F427" s="195" t="s">
        <v>64</v>
      </c>
      <c r="G427" s="196" t="s">
        <v>80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252</v>
      </c>
      <c r="C428" s="193" t="s">
        <v>213</v>
      </c>
      <c r="D428" s="193" t="s">
        <v>1057</v>
      </c>
      <c r="E428" s="193" t="s">
        <v>78</v>
      </c>
      <c r="F428" s="195" t="s">
        <v>64</v>
      </c>
      <c r="G428" s="196" t="s">
        <v>80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90</v>
      </c>
      <c r="C429" s="193" t="s">
        <v>1058</v>
      </c>
      <c r="D429" s="193" t="s">
        <v>1059</v>
      </c>
      <c r="E429" s="193" t="s">
        <v>78</v>
      </c>
      <c r="F429" s="195" t="s">
        <v>64</v>
      </c>
      <c r="G429" s="196" t="s">
        <v>80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252</v>
      </c>
      <c r="C430" s="193" t="s">
        <v>219</v>
      </c>
      <c r="D430" s="193" t="s">
        <v>1060</v>
      </c>
      <c r="E430" s="193" t="s">
        <v>78</v>
      </c>
      <c r="F430" s="195" t="s">
        <v>64</v>
      </c>
      <c r="G430" s="196" t="s">
        <v>80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252</v>
      </c>
      <c r="C431" s="193" t="s">
        <v>219</v>
      </c>
      <c r="D431" s="193" t="s">
        <v>1061</v>
      </c>
      <c r="E431" s="193" t="s">
        <v>78</v>
      </c>
      <c r="F431" s="195" t="s">
        <v>64</v>
      </c>
      <c r="G431" s="196" t="s">
        <v>80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352</v>
      </c>
      <c r="C432" s="193" t="s">
        <v>1062</v>
      </c>
      <c r="D432" s="193" t="s">
        <v>1063</v>
      </c>
      <c r="E432" s="193" t="s">
        <v>78</v>
      </c>
      <c r="F432" s="195" t="s">
        <v>1064</v>
      </c>
      <c r="G432" s="196" t="s">
        <v>80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252</v>
      </c>
      <c r="C433" s="193" t="s">
        <v>1026</v>
      </c>
      <c r="D433" s="193" t="s">
        <v>1065</v>
      </c>
      <c r="E433" s="193" t="s">
        <v>78</v>
      </c>
      <c r="F433" s="195" t="s">
        <v>1064</v>
      </c>
      <c r="G433" s="196" t="s">
        <v>80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252</v>
      </c>
      <c r="C434" s="193" t="s">
        <v>1026</v>
      </c>
      <c r="D434" s="193" t="s">
        <v>1066</v>
      </c>
      <c r="E434" s="193" t="s">
        <v>78</v>
      </c>
      <c r="F434" s="195" t="s">
        <v>1064</v>
      </c>
      <c r="G434" s="196" t="s">
        <v>80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252</v>
      </c>
      <c r="C435" s="193" t="s">
        <v>1026</v>
      </c>
      <c r="D435" s="193" t="s">
        <v>1043</v>
      </c>
      <c r="E435" s="193" t="s">
        <v>78</v>
      </c>
      <c r="F435" s="195" t="s">
        <v>1064</v>
      </c>
      <c r="G435" s="196" t="s">
        <v>80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252</v>
      </c>
      <c r="C436" s="193" t="s">
        <v>219</v>
      </c>
      <c r="D436" s="193" t="s">
        <v>1067</v>
      </c>
      <c r="E436" s="193" t="s">
        <v>78</v>
      </c>
      <c r="F436" s="195" t="s">
        <v>1064</v>
      </c>
      <c r="G436" s="196" t="s">
        <v>80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252</v>
      </c>
      <c r="C437" s="193" t="s">
        <v>219</v>
      </c>
      <c r="D437" s="193" t="s">
        <v>1068</v>
      </c>
      <c r="E437" s="193" t="s">
        <v>78</v>
      </c>
      <c r="F437" s="195" t="s">
        <v>1064</v>
      </c>
      <c r="G437" s="196" t="s">
        <v>80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860</v>
      </c>
      <c r="C438" s="193" t="s">
        <v>910</v>
      </c>
      <c r="D438" s="193" t="s">
        <v>1069</v>
      </c>
      <c r="E438" s="193" t="s">
        <v>328</v>
      </c>
      <c r="F438" s="195" t="s">
        <v>1070</v>
      </c>
      <c r="G438" s="196" t="s">
        <v>80</v>
      </c>
      <c r="H438" s="197">
        <v>63000000</v>
      </c>
      <c r="I438" s="198"/>
      <c r="J438" s="194" t="s">
        <v>1071</v>
      </c>
      <c r="K438" s="197" t="s">
        <v>1072</v>
      </c>
      <c r="L438" s="199" t="s">
        <v>1073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860</v>
      </c>
      <c r="C439" s="193" t="s">
        <v>910</v>
      </c>
      <c r="D439" s="193" t="s">
        <v>1074</v>
      </c>
      <c r="E439" s="193" t="s">
        <v>546</v>
      </c>
      <c r="F439" s="195" t="s">
        <v>1075</v>
      </c>
      <c r="G439" s="196" t="s">
        <v>80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90</v>
      </c>
      <c r="C440" s="193" t="s">
        <v>1076</v>
      </c>
      <c r="D440" s="193" t="s">
        <v>1077</v>
      </c>
      <c r="E440" s="193" t="s">
        <v>78</v>
      </c>
      <c r="F440" s="195" t="s">
        <v>1078</v>
      </c>
      <c r="G440" s="196" t="s">
        <v>80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90</v>
      </c>
      <c r="C441" s="193" t="s">
        <v>1079</v>
      </c>
      <c r="D441" s="193" t="s">
        <v>1080</v>
      </c>
      <c r="E441" s="193" t="s">
        <v>78</v>
      </c>
      <c r="F441" s="195" t="s">
        <v>1078</v>
      </c>
      <c r="G441" s="196" t="s">
        <v>80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90</v>
      </c>
      <c r="C442" s="193" t="s">
        <v>1081</v>
      </c>
      <c r="D442" s="193" t="s">
        <v>1082</v>
      </c>
      <c r="E442" s="193" t="s">
        <v>78</v>
      </c>
      <c r="F442" s="195" t="s">
        <v>1078</v>
      </c>
      <c r="G442" s="196" t="s">
        <v>80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423</v>
      </c>
      <c r="C443" s="193" t="s">
        <v>443</v>
      </c>
      <c r="D443" s="193" t="s">
        <v>808</v>
      </c>
      <c r="E443" s="193" t="s">
        <v>78</v>
      </c>
      <c r="F443" s="195" t="s">
        <v>60</v>
      </c>
      <c r="G443" s="196" t="s">
        <v>80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90</v>
      </c>
      <c r="C444" s="193" t="s">
        <v>182</v>
      </c>
      <c r="D444" s="193" t="s">
        <v>1083</v>
      </c>
      <c r="E444" s="193" t="s">
        <v>78</v>
      </c>
      <c r="F444" s="195" t="s">
        <v>1078</v>
      </c>
      <c r="G444" s="196" t="s">
        <v>80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90</v>
      </c>
      <c r="C445" s="193" t="s">
        <v>1084</v>
      </c>
      <c r="D445" s="193" t="s">
        <v>1085</v>
      </c>
      <c r="E445" s="193" t="s">
        <v>78</v>
      </c>
      <c r="F445" s="195" t="s">
        <v>72</v>
      </c>
      <c r="G445" s="196" t="s">
        <v>80</v>
      </c>
      <c r="H445" s="197">
        <v>0</v>
      </c>
      <c r="I445" s="198"/>
      <c r="J445" s="194" t="s">
        <v>1086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90</v>
      </c>
      <c r="C446" s="193" t="s">
        <v>819</v>
      </c>
      <c r="D446" s="193" t="s">
        <v>1087</v>
      </c>
      <c r="E446" s="193" t="s">
        <v>78</v>
      </c>
      <c r="F446" s="195" t="s">
        <v>72</v>
      </c>
      <c r="G446" s="196" t="s">
        <v>80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90</v>
      </c>
      <c r="C447" s="193" t="s">
        <v>1088</v>
      </c>
      <c r="D447" s="193" t="s">
        <v>1089</v>
      </c>
      <c r="E447" s="193" t="s">
        <v>78</v>
      </c>
      <c r="F447" s="195" t="s">
        <v>72</v>
      </c>
      <c r="G447" s="196" t="s">
        <v>80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90</v>
      </c>
      <c r="C448" s="193" t="s">
        <v>1090</v>
      </c>
      <c r="D448" s="193" t="s">
        <v>1091</v>
      </c>
      <c r="E448" s="193" t="s">
        <v>78</v>
      </c>
      <c r="F448" s="195" t="s">
        <v>72</v>
      </c>
      <c r="G448" s="196" t="s">
        <v>700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90</v>
      </c>
      <c r="C449" s="193" t="s">
        <v>1092</v>
      </c>
      <c r="D449" s="193" t="s">
        <v>1093</v>
      </c>
      <c r="E449" s="193" t="s">
        <v>78</v>
      </c>
      <c r="F449" s="195" t="s">
        <v>849</v>
      </c>
      <c r="G449" s="196" t="s">
        <v>700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252</v>
      </c>
      <c r="C450" s="193" t="s">
        <v>1026</v>
      </c>
      <c r="D450" s="193" t="s">
        <v>1094</v>
      </c>
      <c r="E450" s="193" t="s">
        <v>78</v>
      </c>
      <c r="F450" s="195" t="s">
        <v>1095</v>
      </c>
      <c r="G450" s="196" t="s">
        <v>80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252</v>
      </c>
      <c r="C451" s="193" t="s">
        <v>1026</v>
      </c>
      <c r="D451" s="193" t="s">
        <v>1096</v>
      </c>
      <c r="E451" s="193" t="s">
        <v>78</v>
      </c>
      <c r="F451" s="195" t="s">
        <v>1095</v>
      </c>
      <c r="G451" s="196" t="s">
        <v>80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126</v>
      </c>
      <c r="C452" s="193" t="s">
        <v>1097</v>
      </c>
      <c r="D452" s="193" t="s">
        <v>1098</v>
      </c>
      <c r="E452" s="193" t="s">
        <v>78</v>
      </c>
      <c r="F452" s="195" t="s">
        <v>849</v>
      </c>
      <c r="G452" s="196" t="s">
        <v>80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126</v>
      </c>
      <c r="C453" s="193" t="s">
        <v>1099</v>
      </c>
      <c r="D453" s="193" t="s">
        <v>1100</v>
      </c>
      <c r="E453" s="193" t="s">
        <v>78</v>
      </c>
      <c r="F453" s="195" t="s">
        <v>849</v>
      </c>
      <c r="G453" s="196" t="s">
        <v>80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423</v>
      </c>
      <c r="C454" s="193" t="s">
        <v>1101</v>
      </c>
      <c r="D454" s="193" t="s">
        <v>1102</v>
      </c>
      <c r="E454" s="193" t="s">
        <v>78</v>
      </c>
      <c r="F454" s="195" t="s">
        <v>1095</v>
      </c>
      <c r="G454" s="196" t="s">
        <v>80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272</v>
      </c>
      <c r="C455" s="193" t="s">
        <v>1103</v>
      </c>
      <c r="D455" s="193" t="s">
        <v>1104</v>
      </c>
      <c r="E455" s="193" t="s">
        <v>78</v>
      </c>
      <c r="F455" s="195" t="s">
        <v>1095</v>
      </c>
      <c r="G455" s="196" t="s">
        <v>80</v>
      </c>
      <c r="H455" s="197">
        <v>7100000</v>
      </c>
      <c r="I455" s="198"/>
      <c r="J455" s="194" t="s">
        <v>1105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252</v>
      </c>
      <c r="C456" s="193" t="s">
        <v>1106</v>
      </c>
      <c r="D456" s="193" t="s">
        <v>1107</v>
      </c>
      <c r="E456" s="193" t="s">
        <v>78</v>
      </c>
      <c r="F456" s="195" t="s">
        <v>1108</v>
      </c>
      <c r="G456" s="196" t="s">
        <v>80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252</v>
      </c>
      <c r="C457" s="193" t="s">
        <v>1106</v>
      </c>
      <c r="D457" s="193" t="s">
        <v>1067</v>
      </c>
      <c r="E457" s="193" t="s">
        <v>78</v>
      </c>
      <c r="F457" s="195" t="s">
        <v>1108</v>
      </c>
      <c r="G457" s="196" t="s">
        <v>80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90</v>
      </c>
      <c r="C458" s="193" t="s">
        <v>1109</v>
      </c>
      <c r="D458" s="193" t="s">
        <v>1110</v>
      </c>
      <c r="E458" s="193" t="s">
        <v>78</v>
      </c>
      <c r="F458" s="195" t="s">
        <v>1111</v>
      </c>
      <c r="G458" s="196" t="s">
        <v>80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90</v>
      </c>
      <c r="C459" s="193" t="s">
        <v>1112</v>
      </c>
      <c r="D459" s="193" t="s">
        <v>1113</v>
      </c>
      <c r="E459" s="193" t="s">
        <v>78</v>
      </c>
      <c r="F459" s="195" t="s">
        <v>1111</v>
      </c>
      <c r="G459" s="196" t="s">
        <v>80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860</v>
      </c>
      <c r="C460" s="193" t="s">
        <v>1114</v>
      </c>
      <c r="D460" s="193" t="s">
        <v>1115</v>
      </c>
      <c r="E460" s="193" t="s">
        <v>78</v>
      </c>
      <c r="F460" s="195" t="s">
        <v>1111</v>
      </c>
      <c r="G460" s="196" t="s">
        <v>80</v>
      </c>
      <c r="H460" s="197">
        <v>0</v>
      </c>
      <c r="I460" s="198"/>
      <c r="J460" s="194" t="s">
        <v>1116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860</v>
      </c>
      <c r="C461" s="193" t="s">
        <v>1117</v>
      </c>
      <c r="D461" s="193" t="s">
        <v>1118</v>
      </c>
      <c r="E461" s="193" t="s">
        <v>78</v>
      </c>
      <c r="F461" s="195" t="s">
        <v>1119</v>
      </c>
      <c r="G461" s="196" t="s">
        <v>80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252</v>
      </c>
      <c r="C462" s="193" t="s">
        <v>477</v>
      </c>
      <c r="D462" s="193" t="s">
        <v>1120</v>
      </c>
      <c r="E462" s="193" t="s">
        <v>78</v>
      </c>
      <c r="F462" s="195" t="s">
        <v>1108</v>
      </c>
      <c r="G462" s="196" t="s">
        <v>80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411</v>
      </c>
      <c r="C463" s="193" t="s">
        <v>1121</v>
      </c>
      <c r="D463" s="193" t="s">
        <v>1122</v>
      </c>
      <c r="E463" s="193" t="s">
        <v>78</v>
      </c>
      <c r="F463" s="195" t="s">
        <v>1123</v>
      </c>
      <c r="G463" s="196" t="s">
        <v>80</v>
      </c>
      <c r="H463" s="197">
        <v>10801080</v>
      </c>
      <c r="I463" s="198"/>
      <c r="J463" s="194" t="s">
        <v>958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90</v>
      </c>
      <c r="C464" s="193" t="s">
        <v>298</v>
      </c>
      <c r="D464" s="193" t="s">
        <v>1124</v>
      </c>
      <c r="E464" s="193" t="s">
        <v>78</v>
      </c>
      <c r="F464" s="195" t="s">
        <v>1123</v>
      </c>
      <c r="G464" s="196" t="s">
        <v>80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662</v>
      </c>
      <c r="C465" s="193" t="s">
        <v>1125</v>
      </c>
      <c r="D465" s="193" t="s">
        <v>1126</v>
      </c>
      <c r="E465" s="193" t="s">
        <v>546</v>
      </c>
      <c r="F465" s="195" t="s">
        <v>1127</v>
      </c>
      <c r="G465" s="196" t="s">
        <v>80</v>
      </c>
      <c r="H465" s="197">
        <v>160400000</v>
      </c>
      <c r="I465" s="198"/>
      <c r="J465" s="194" t="s">
        <v>1128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252</v>
      </c>
      <c r="C466" s="193" t="s">
        <v>872</v>
      </c>
      <c r="D466" s="193" t="s">
        <v>1129</v>
      </c>
      <c r="E466" s="193" t="s">
        <v>78</v>
      </c>
      <c r="F466" s="195" t="s">
        <v>1130</v>
      </c>
      <c r="G466" s="196" t="s">
        <v>80</v>
      </c>
      <c r="H466" s="197">
        <v>2800000</v>
      </c>
      <c r="I466" s="198"/>
      <c r="J466" s="194" t="s">
        <v>1131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252</v>
      </c>
      <c r="C467" s="193" t="s">
        <v>466</v>
      </c>
      <c r="D467" s="193" t="s">
        <v>1132</v>
      </c>
      <c r="E467" s="193" t="s">
        <v>78</v>
      </c>
      <c r="F467" s="195" t="s">
        <v>1130</v>
      </c>
      <c r="G467" s="196" t="s">
        <v>80</v>
      </c>
      <c r="H467" s="197">
        <v>1200000</v>
      </c>
      <c r="I467" s="198"/>
      <c r="J467" s="194" t="s">
        <v>1133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272</v>
      </c>
      <c r="C468" s="193" t="s">
        <v>1134</v>
      </c>
      <c r="D468" s="193" t="s">
        <v>1135</v>
      </c>
      <c r="E468" s="193" t="s">
        <v>78</v>
      </c>
      <c r="F468" s="195" t="s">
        <v>1136</v>
      </c>
      <c r="G468" s="196" t="s">
        <v>80</v>
      </c>
      <c r="H468" s="197">
        <v>17250000</v>
      </c>
      <c r="I468" s="198"/>
      <c r="J468" s="194" t="s">
        <v>1137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252</v>
      </c>
      <c r="C469" s="193" t="s">
        <v>1138</v>
      </c>
      <c r="D469" s="193" t="s">
        <v>1139</v>
      </c>
      <c r="E469" s="193" t="s">
        <v>78</v>
      </c>
      <c r="F469" s="195" t="s">
        <v>73</v>
      </c>
      <c r="G469" s="196" t="s">
        <v>80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423</v>
      </c>
      <c r="C470" s="193" t="s">
        <v>1013</v>
      </c>
      <c r="D470" s="193" t="s">
        <v>1140</v>
      </c>
      <c r="E470" s="193" t="s">
        <v>78</v>
      </c>
      <c r="F470" s="195" t="s">
        <v>1141</v>
      </c>
      <c r="G470" s="196" t="s">
        <v>80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166</v>
      </c>
      <c r="C471" s="193" t="s">
        <v>1142</v>
      </c>
      <c r="D471" s="61" t="s">
        <v>1253</v>
      </c>
      <c r="E471" s="193" t="s">
        <v>78</v>
      </c>
      <c r="F471" s="195" t="s">
        <v>1141</v>
      </c>
      <c r="G471" s="196" t="s">
        <v>80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423</v>
      </c>
      <c r="C472" s="193" t="s">
        <v>1013</v>
      </c>
      <c r="D472" s="193" t="s">
        <v>1143</v>
      </c>
      <c r="E472" s="193" t="s">
        <v>78</v>
      </c>
      <c r="F472" s="195" t="s">
        <v>1144</v>
      </c>
      <c r="G472" s="196" t="s">
        <v>80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90</v>
      </c>
      <c r="C473" s="193" t="s">
        <v>1145</v>
      </c>
      <c r="D473" s="193" t="s">
        <v>1146</v>
      </c>
      <c r="E473" s="193" t="s">
        <v>78</v>
      </c>
      <c r="F473" s="195" t="s">
        <v>1141</v>
      </c>
      <c r="G473" s="196" t="s">
        <v>80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423</v>
      </c>
      <c r="C474" s="193" t="s">
        <v>443</v>
      </c>
      <c r="D474" s="193" t="s">
        <v>1147</v>
      </c>
      <c r="E474" s="193" t="s">
        <v>78</v>
      </c>
      <c r="F474" s="195" t="s">
        <v>1052</v>
      </c>
      <c r="G474" s="196" t="s">
        <v>80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252</v>
      </c>
      <c r="C475" s="193" t="s">
        <v>219</v>
      </c>
      <c r="D475" s="193" t="s">
        <v>1148</v>
      </c>
      <c r="E475" s="193" t="s">
        <v>78</v>
      </c>
      <c r="F475" s="195" t="s">
        <v>1052</v>
      </c>
      <c r="G475" s="196" t="s">
        <v>80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252</v>
      </c>
      <c r="C476" s="193" t="s">
        <v>219</v>
      </c>
      <c r="D476" s="193" t="s">
        <v>1149</v>
      </c>
      <c r="E476" s="193" t="s">
        <v>78</v>
      </c>
      <c r="F476" s="195" t="s">
        <v>1052</v>
      </c>
      <c r="G476" s="196" t="s">
        <v>80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252</v>
      </c>
      <c r="C477" s="193" t="s">
        <v>1026</v>
      </c>
      <c r="D477" s="193" t="s">
        <v>1150</v>
      </c>
      <c r="E477" s="193" t="s">
        <v>78</v>
      </c>
      <c r="F477" s="195" t="s">
        <v>1052</v>
      </c>
      <c r="G477" s="196" t="s">
        <v>80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423</v>
      </c>
      <c r="C478" s="193" t="s">
        <v>1013</v>
      </c>
      <c r="D478" s="193" t="s">
        <v>1151</v>
      </c>
      <c r="E478" s="193" t="s">
        <v>78</v>
      </c>
      <c r="F478" s="195" t="s">
        <v>1152</v>
      </c>
      <c r="G478" s="196" t="s">
        <v>80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126</v>
      </c>
      <c r="C479" s="193" t="s">
        <v>488</v>
      </c>
      <c r="D479" s="193" t="s">
        <v>1153</v>
      </c>
      <c r="E479" s="193" t="s">
        <v>78</v>
      </c>
      <c r="F479" s="195" t="s">
        <v>1154</v>
      </c>
      <c r="G479" s="196" t="s">
        <v>80</v>
      </c>
      <c r="H479" s="197">
        <v>20002000</v>
      </c>
      <c r="I479" s="198"/>
      <c r="J479" s="194" t="s">
        <v>1155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352</v>
      </c>
      <c r="C480" s="193" t="s">
        <v>1026</v>
      </c>
      <c r="D480" s="193" t="s">
        <v>1156</v>
      </c>
      <c r="E480" s="193" t="s">
        <v>78</v>
      </c>
      <c r="F480" s="195" t="s">
        <v>1144</v>
      </c>
      <c r="G480" s="196" t="s">
        <v>80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352</v>
      </c>
      <c r="C481" s="193" t="s">
        <v>1229</v>
      </c>
      <c r="D481" s="193" t="s">
        <v>1230</v>
      </c>
      <c r="E481" s="193" t="s">
        <v>546</v>
      </c>
      <c r="F481" s="195" t="s">
        <v>776</v>
      </c>
      <c r="G481" s="196" t="s">
        <v>80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423</v>
      </c>
      <c r="C482" s="193" t="s">
        <v>1013</v>
      </c>
      <c r="D482" s="193" t="s">
        <v>1231</v>
      </c>
      <c r="E482" s="193" t="s">
        <v>78</v>
      </c>
      <c r="F482" s="195" t="s">
        <v>1152</v>
      </c>
      <c r="G482" s="196" t="s">
        <v>80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252</v>
      </c>
      <c r="C483" s="193" t="s">
        <v>1026</v>
      </c>
      <c r="D483" s="193" t="s">
        <v>1232</v>
      </c>
      <c r="E483" s="193" t="s">
        <v>78</v>
      </c>
      <c r="F483" s="195" t="s">
        <v>918</v>
      </c>
      <c r="G483" s="196" t="s">
        <v>80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252</v>
      </c>
      <c r="C484" s="193" t="s">
        <v>219</v>
      </c>
      <c r="D484" s="193" t="s">
        <v>1233</v>
      </c>
      <c r="E484" s="193" t="s">
        <v>78</v>
      </c>
      <c r="F484" s="195" t="s">
        <v>918</v>
      </c>
      <c r="G484" s="196" t="s">
        <v>80</v>
      </c>
      <c r="H484" s="197">
        <v>1700500</v>
      </c>
      <c r="I484" s="198"/>
      <c r="J484" s="58" t="s">
        <v>1254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252</v>
      </c>
      <c r="C485" s="193" t="s">
        <v>219</v>
      </c>
      <c r="D485" s="193" t="s">
        <v>1234</v>
      </c>
      <c r="E485" s="193" t="s">
        <v>78</v>
      </c>
      <c r="F485" s="195" t="s">
        <v>918</v>
      </c>
      <c r="G485" s="196" t="s">
        <v>80</v>
      </c>
      <c r="H485" s="197">
        <v>1502000</v>
      </c>
      <c r="I485" s="198"/>
      <c r="J485" s="194" t="s">
        <v>1245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126</v>
      </c>
      <c r="C486" s="193" t="s">
        <v>1099</v>
      </c>
      <c r="D486" s="193" t="s">
        <v>1235</v>
      </c>
      <c r="E486" s="193" t="s">
        <v>78</v>
      </c>
      <c r="F486" s="195" t="s">
        <v>918</v>
      </c>
      <c r="G486" s="196" t="s">
        <v>80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126</v>
      </c>
      <c r="C487" s="193" t="s">
        <v>1099</v>
      </c>
      <c r="D487" s="193" t="s">
        <v>1236</v>
      </c>
      <c r="E487" s="193" t="s">
        <v>78</v>
      </c>
      <c r="F487" s="195" t="s">
        <v>1237</v>
      </c>
      <c r="G487" s="196" t="s">
        <v>80</v>
      </c>
      <c r="H487" s="197">
        <v>2770300</v>
      </c>
      <c r="I487" s="198"/>
      <c r="J487" s="194" t="s">
        <v>1248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252</v>
      </c>
      <c r="C488" s="193" t="s">
        <v>1099</v>
      </c>
      <c r="D488" s="193" t="s">
        <v>1238</v>
      </c>
      <c r="E488" s="193" t="s">
        <v>78</v>
      </c>
      <c r="F488" s="195" t="s">
        <v>918</v>
      </c>
      <c r="G488" s="196" t="s">
        <v>80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272</v>
      </c>
      <c r="C489" s="193" t="s">
        <v>1103</v>
      </c>
      <c r="D489" s="193" t="s">
        <v>1239</v>
      </c>
      <c r="E489" s="193" t="s">
        <v>78</v>
      </c>
      <c r="F489" s="195" t="s">
        <v>918</v>
      </c>
      <c r="G489" s="196" t="s">
        <v>80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272</v>
      </c>
      <c r="C490" s="193" t="s">
        <v>1103</v>
      </c>
      <c r="D490" s="193" t="s">
        <v>1240</v>
      </c>
      <c r="E490" s="193" t="s">
        <v>78</v>
      </c>
      <c r="F490" s="195" t="s">
        <v>1237</v>
      </c>
      <c r="G490" s="196" t="s">
        <v>80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423</v>
      </c>
      <c r="C491" s="193" t="s">
        <v>1242</v>
      </c>
      <c r="D491" s="193" t="s">
        <v>1243</v>
      </c>
      <c r="E491" s="193" t="s">
        <v>78</v>
      </c>
      <c r="F491" s="195" t="s">
        <v>1237</v>
      </c>
      <c r="G491" s="196" t="s">
        <v>80</v>
      </c>
      <c r="H491" s="197">
        <v>-18330000</v>
      </c>
      <c r="I491" s="198"/>
      <c r="J491" s="194" t="s">
        <v>1250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423</v>
      </c>
      <c r="C492" s="193" t="s">
        <v>1244</v>
      </c>
      <c r="D492" s="193" t="s">
        <v>1252</v>
      </c>
      <c r="E492" s="193" t="s">
        <v>546</v>
      </c>
      <c r="F492" s="195" t="s">
        <v>1251</v>
      </c>
      <c r="G492" s="196" t="s">
        <v>80</v>
      </c>
      <c r="H492" s="197">
        <v>165500000</v>
      </c>
      <c r="I492" s="198"/>
      <c r="J492" s="58" t="s">
        <v>1268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126</v>
      </c>
      <c r="C493" s="193" t="s">
        <v>1099</v>
      </c>
      <c r="D493" s="193" t="s">
        <v>1246</v>
      </c>
      <c r="E493" s="193" t="s">
        <v>78</v>
      </c>
      <c r="F493" s="195" t="s">
        <v>1237</v>
      </c>
      <c r="G493" s="196" t="s">
        <v>80</v>
      </c>
      <c r="H493" s="197">
        <v>17701700</v>
      </c>
      <c r="I493" s="198"/>
      <c r="J493" s="194" t="s">
        <v>1247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252</v>
      </c>
      <c r="C494" s="193" t="s">
        <v>1099</v>
      </c>
      <c r="D494" s="193" t="s">
        <v>1249</v>
      </c>
      <c r="E494" s="193" t="s">
        <v>78</v>
      </c>
      <c r="F494" s="195" t="s">
        <v>1237</v>
      </c>
      <c r="G494" s="196" t="s">
        <v>80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126</v>
      </c>
      <c r="C495" s="236" t="s">
        <v>1099</v>
      </c>
      <c r="D495" s="236" t="s">
        <v>1259</v>
      </c>
      <c r="E495" s="61" t="s">
        <v>78</v>
      </c>
      <c r="F495" s="88" t="s">
        <v>1257</v>
      </c>
      <c r="G495" s="90" t="s">
        <v>80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126</v>
      </c>
      <c r="C496" s="61" t="s">
        <v>1255</v>
      </c>
      <c r="D496" s="61" t="s">
        <v>1256</v>
      </c>
      <c r="E496" s="61" t="s">
        <v>78</v>
      </c>
      <c r="F496" s="88" t="s">
        <v>1257</v>
      </c>
      <c r="G496" s="90" t="s">
        <v>80</v>
      </c>
      <c r="H496" s="74">
        <v>-2500000</v>
      </c>
      <c r="I496" s="89"/>
      <c r="J496" s="58" t="s">
        <v>1258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846</v>
      </c>
      <c r="C497" s="61" t="s">
        <v>1260</v>
      </c>
      <c r="D497" s="61" t="s">
        <v>1262</v>
      </c>
      <c r="E497" s="61" t="s">
        <v>546</v>
      </c>
      <c r="F497" s="88" t="s">
        <v>1261</v>
      </c>
      <c r="G497" s="90" t="s">
        <v>80</v>
      </c>
      <c r="H497" s="74">
        <v>660000000</v>
      </c>
      <c r="I497" s="89"/>
      <c r="J497" s="58" t="s">
        <v>1263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423</v>
      </c>
      <c r="C498" s="61" t="s">
        <v>1264</v>
      </c>
      <c r="D498" s="61" t="s">
        <v>1265</v>
      </c>
      <c r="E498" s="61" t="s">
        <v>546</v>
      </c>
      <c r="F498" s="88" t="s">
        <v>1266</v>
      </c>
      <c r="G498" s="90" t="s">
        <v>80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252</v>
      </c>
      <c r="C499" s="61" t="s">
        <v>1097</v>
      </c>
      <c r="D499" s="61" t="s">
        <v>1267</v>
      </c>
      <c r="E499" s="61" t="s">
        <v>78</v>
      </c>
      <c r="F499" s="88" t="s">
        <v>1266</v>
      </c>
      <c r="G499" s="90" t="s">
        <v>80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90</v>
      </c>
      <c r="C500" s="61" t="s">
        <v>1026</v>
      </c>
      <c r="D500" s="61" t="s">
        <v>1269</v>
      </c>
      <c r="E500" s="61" t="s">
        <v>78</v>
      </c>
      <c r="F500" s="88" t="s">
        <v>1270</v>
      </c>
      <c r="G500" s="90" t="s">
        <v>80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331</v>
      </c>
      <c r="C501" s="61" t="s">
        <v>1097</v>
      </c>
      <c r="D501" s="61" t="s">
        <v>1273</v>
      </c>
      <c r="E501" s="61" t="s">
        <v>78</v>
      </c>
      <c r="F501" s="88" t="s">
        <v>1274</v>
      </c>
      <c r="G501" s="90" t="s">
        <v>80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314</v>
      </c>
      <c r="C502" s="61" t="s">
        <v>499</v>
      </c>
      <c r="D502" s="61" t="s">
        <v>1275</v>
      </c>
      <c r="E502" s="61" t="s">
        <v>78</v>
      </c>
      <c r="F502" s="88" t="s">
        <v>1274</v>
      </c>
      <c r="G502" s="90" t="s">
        <v>80</v>
      </c>
      <c r="H502" s="74">
        <v>22000</v>
      </c>
      <c r="I502" s="89"/>
      <c r="J502" s="58" t="s">
        <v>1277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314</v>
      </c>
      <c r="C503" s="61" t="s">
        <v>499</v>
      </c>
      <c r="D503" s="61" t="s">
        <v>1276</v>
      </c>
      <c r="E503" s="61" t="s">
        <v>78</v>
      </c>
      <c r="F503" s="88" t="s">
        <v>676</v>
      </c>
      <c r="G503" s="90" t="s">
        <v>80</v>
      </c>
      <c r="H503" s="74">
        <v>22000</v>
      </c>
      <c r="I503" s="89"/>
      <c r="J503" s="58" t="s">
        <v>1277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423</v>
      </c>
      <c r="C504" s="61" t="s">
        <v>1013</v>
      </c>
      <c r="D504" s="61" t="s">
        <v>1278</v>
      </c>
      <c r="E504" s="61" t="s">
        <v>78</v>
      </c>
      <c r="F504" s="88" t="s">
        <v>1274</v>
      </c>
      <c r="G504" s="90" t="s">
        <v>80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90</v>
      </c>
      <c r="C505" s="61" t="s">
        <v>1279</v>
      </c>
      <c r="D505" s="61" t="s">
        <v>1280</v>
      </c>
      <c r="E505" s="61" t="s">
        <v>78</v>
      </c>
      <c r="F505" s="88" t="s">
        <v>1274</v>
      </c>
      <c r="G505" s="90" t="s">
        <v>80</v>
      </c>
      <c r="H505" s="74">
        <v>2302000</v>
      </c>
      <c r="I505" s="89"/>
      <c r="J505" s="58" t="s">
        <v>1281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352</v>
      </c>
      <c r="C506" s="61" t="s">
        <v>1287</v>
      </c>
      <c r="D506" s="61" t="s">
        <v>1288</v>
      </c>
      <c r="E506" s="61" t="s">
        <v>78</v>
      </c>
      <c r="F506" s="88" t="s">
        <v>1274</v>
      </c>
      <c r="G506" s="90" t="s">
        <v>80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252</v>
      </c>
      <c r="C507" s="61" t="s">
        <v>1026</v>
      </c>
      <c r="D507" s="61" t="s">
        <v>1289</v>
      </c>
      <c r="E507" s="61" t="s">
        <v>78</v>
      </c>
      <c r="F507" s="88" t="s">
        <v>676</v>
      </c>
      <c r="G507" s="90" t="s">
        <v>821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252</v>
      </c>
      <c r="C508" s="61" t="s">
        <v>1097</v>
      </c>
      <c r="D508" s="61" t="s">
        <v>1290</v>
      </c>
      <c r="E508" s="61" t="s">
        <v>78</v>
      </c>
      <c r="F508" s="88" t="s">
        <v>676</v>
      </c>
      <c r="G508" s="90" t="s">
        <v>80</v>
      </c>
      <c r="H508" s="74">
        <v>1702000</v>
      </c>
      <c r="I508" s="89"/>
      <c r="J508" s="58" t="s">
        <v>1291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/>
      <c r="C509" s="61"/>
      <c r="D509" s="61"/>
      <c r="E509" s="61"/>
      <c r="F509" s="88"/>
      <c r="G509" s="90"/>
      <c r="H509" s="74"/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/>
      <c r="B510" s="61"/>
      <c r="C510" s="61"/>
      <c r="D510" s="61"/>
      <c r="E510" s="61"/>
      <c r="F510" s="88"/>
      <c r="G510" s="90"/>
      <c r="H510" s="74"/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/>
      <c r="B511" s="61"/>
      <c r="C511" s="61"/>
      <c r="D511" s="61"/>
      <c r="E511" s="61"/>
      <c r="F511" s="88"/>
      <c r="G511" s="90"/>
      <c r="H511" s="74"/>
      <c r="I511" s="89"/>
      <c r="J511" s="58"/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/>
      <c r="B512" s="61"/>
      <c r="C512" s="61"/>
      <c r="D512" s="61"/>
      <c r="E512" s="61"/>
      <c r="F512" s="88"/>
      <c r="G512" s="90"/>
      <c r="H512" s="74"/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/>
      <c r="B513" s="61"/>
      <c r="C513" s="61"/>
      <c r="D513" s="61"/>
      <c r="E513" s="61"/>
      <c r="F513" s="88"/>
      <c r="G513" s="90"/>
      <c r="H513" s="74"/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/>
      <c r="B514" s="61"/>
      <c r="C514" s="61"/>
      <c r="D514" s="61"/>
      <c r="E514" s="61"/>
      <c r="F514" s="88"/>
      <c r="G514" s="90"/>
      <c r="H514" s="74"/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/>
      <c r="B515" s="61"/>
      <c r="C515" s="61"/>
      <c r="D515" s="61"/>
      <c r="E515" s="61"/>
      <c r="F515" s="88"/>
      <c r="G515" s="90"/>
      <c r="H515" s="74"/>
      <c r="I515" s="89"/>
      <c r="J515" s="58"/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/>
      <c r="B516" s="61"/>
      <c r="C516" s="61"/>
      <c r="D516" s="61"/>
      <c r="E516" s="61"/>
      <c r="F516" s="88"/>
      <c r="G516" s="90"/>
      <c r="H516" s="74"/>
      <c r="I516" s="89"/>
      <c r="J516" s="58"/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/>
      <c r="B517" s="61"/>
      <c r="C517" s="61"/>
      <c r="D517" s="61"/>
      <c r="E517" s="61"/>
      <c r="F517" s="88"/>
      <c r="G517" s="90"/>
      <c r="H517" s="74"/>
      <c r="I517" s="89"/>
      <c r="J517" s="58"/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/>
      <c r="B518" s="61"/>
      <c r="C518" s="61"/>
      <c r="D518" s="61"/>
      <c r="E518" s="61"/>
      <c r="F518" s="88"/>
      <c r="G518" s="90"/>
      <c r="H518" s="74"/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/>
      <c r="B519" s="61"/>
      <c r="C519" s="61"/>
      <c r="D519" s="61"/>
      <c r="E519" s="61"/>
      <c r="F519" s="88"/>
      <c r="G519" s="90"/>
      <c r="H519" s="74"/>
      <c r="I519" s="89"/>
      <c r="J519" s="58"/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/>
      <c r="B520" s="61"/>
      <c r="C520" s="61"/>
      <c r="D520" s="61"/>
      <c r="E520" s="61"/>
      <c r="F520" s="88"/>
      <c r="G520" s="90"/>
      <c r="H520" s="74"/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43" t="s">
        <v>1</v>
      </c>
      <c r="B1" s="244"/>
      <c r="C1" s="244"/>
      <c r="D1" s="244"/>
      <c r="E1" s="244"/>
      <c r="F1" s="245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46" t="s">
        <v>2</v>
      </c>
      <c r="B2" s="247"/>
      <c r="C2" s="247"/>
      <c r="D2" s="248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1271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133</v>
      </c>
      <c r="F10" s="238" t="s">
        <v>1272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72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73</v>
      </c>
      <c r="C25" s="224">
        <v>30000000</v>
      </c>
      <c r="D25" s="225" t="s">
        <v>74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1241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49" t="s">
        <v>0</v>
      </c>
      <c r="B1" s="250"/>
      <c r="C1" s="250"/>
      <c r="D1" s="250"/>
      <c r="E1" s="250"/>
      <c r="F1" s="25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52" t="s">
        <v>2</v>
      </c>
      <c r="B2" s="253"/>
      <c r="C2" s="253"/>
      <c r="D2" s="254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workbookViewId="0">
      <selection activeCell="D29" sqref="D29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55" t="s">
        <v>1286</v>
      </c>
      <c r="B1" s="250"/>
      <c r="C1" s="250"/>
      <c r="D1" s="250"/>
      <c r="E1" s="250"/>
      <c r="F1" s="25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52" t="s">
        <v>2</v>
      </c>
      <c r="B2" s="253"/>
      <c r="C2" s="253"/>
      <c r="D2" s="254"/>
      <c r="E2" s="3" t="s">
        <v>1270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1274</v>
      </c>
      <c r="C4" s="12">
        <v>1250000000</v>
      </c>
      <c r="D4" s="16" t="s">
        <v>1285</v>
      </c>
      <c r="E4" s="14">
        <v>184.70588235293999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1274</v>
      </c>
      <c r="C5" s="12">
        <v>250000000</v>
      </c>
      <c r="D5" s="16" t="s">
        <v>1285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15699999999.999899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>
        <v>85000000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39" t="s">
        <v>1282</v>
      </c>
      <c r="F8" s="240" t="s">
        <v>1272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1500000000</v>
      </c>
      <c r="D14" s="59" t="s">
        <v>71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14199999999.999899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9" t="s">
        <v>1157</v>
      </c>
      <c r="B1" s="250"/>
      <c r="C1" s="250"/>
      <c r="D1" s="250"/>
      <c r="E1" s="250"/>
      <c r="F1" s="25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52" t="s">
        <v>2</v>
      </c>
      <c r="B2" s="253"/>
      <c r="C2" s="253"/>
      <c r="D2" s="254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1158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1159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44" zoomScale="80" workbookViewId="0">
      <selection activeCell="BA46" sqref="BA46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1152</v>
      </c>
      <c r="D1" s="93" t="s">
        <v>1160</v>
      </c>
      <c r="E1" s="94" t="s">
        <v>1161</v>
      </c>
      <c r="F1" s="95"/>
    </row>
    <row r="2" spans="1:26" ht="22.5" x14ac:dyDescent="0.35">
      <c r="A2" s="96" t="s">
        <v>1162</v>
      </c>
      <c r="B2" s="96" t="s">
        <v>1163</v>
      </c>
      <c r="C2" s="96" t="s">
        <v>1164</v>
      </c>
      <c r="D2" s="97" t="s">
        <v>1165</v>
      </c>
      <c r="E2" s="98" t="s">
        <v>1166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1167</v>
      </c>
      <c r="E3" s="101" t="s">
        <v>1168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1169</v>
      </c>
      <c r="E4" s="106" t="s">
        <v>75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1170</v>
      </c>
      <c r="E5" s="101" t="s">
        <v>110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1171</v>
      </c>
      <c r="E6" s="106" t="s">
        <v>244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1172</v>
      </c>
      <c r="E7" s="101" t="s">
        <v>82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1173</v>
      </c>
      <c r="E8" s="106" t="s">
        <v>314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1174</v>
      </c>
      <c r="E9" s="101" t="s">
        <v>357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1175</v>
      </c>
      <c r="E10" s="106" t="s">
        <v>521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1176</v>
      </c>
      <c r="E11" s="101" t="s">
        <v>468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1177</v>
      </c>
      <c r="E12" s="106" t="s">
        <v>126</v>
      </c>
      <c r="F12" s="107">
        <v>10</v>
      </c>
    </row>
    <row r="13" spans="1:26" ht="21.4" x14ac:dyDescent="0.35">
      <c r="A13" s="99">
        <f>SUMIF(Sheet1!B:B,Sheet7!E13,Sheet1!H:H)</f>
        <v>605233019</v>
      </c>
      <c r="B13" s="99">
        <v>1000000000</v>
      </c>
      <c r="C13" s="99">
        <v>1300000000</v>
      </c>
      <c r="D13" s="100" t="s">
        <v>1178</v>
      </c>
      <c r="E13" s="101" t="s">
        <v>90</v>
      </c>
      <c r="F13" s="102">
        <v>11</v>
      </c>
    </row>
    <row r="14" spans="1:26" ht="21.4" x14ac:dyDescent="0.35">
      <c r="A14" s="104">
        <f>SUMIF(Sheet1!B:B,Sheet7!E14,Sheet1!H:H)</f>
        <v>169175000</v>
      </c>
      <c r="B14" s="104">
        <v>400000000</v>
      </c>
      <c r="C14" s="104">
        <v>400000000</v>
      </c>
      <c r="D14" s="105" t="s">
        <v>1179</v>
      </c>
      <c r="E14" s="106" t="s">
        <v>252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1180</v>
      </c>
      <c r="E15" s="101" t="s">
        <v>300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1181</v>
      </c>
      <c r="E16" s="106" t="s">
        <v>978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1182</v>
      </c>
      <c r="E17" s="101" t="s">
        <v>331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1183</v>
      </c>
      <c r="E18" s="106" t="s">
        <v>230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1184</v>
      </c>
      <c r="E19" s="101" t="s">
        <v>166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1185</v>
      </c>
      <c r="E20" s="106" t="s">
        <v>170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1186</v>
      </c>
      <c r="E21" s="101" t="s">
        <v>1187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1188</v>
      </c>
      <c r="E22" s="106" t="s">
        <v>999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1189</v>
      </c>
      <c r="E23" s="101" t="s">
        <v>1190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1191</v>
      </c>
      <c r="E24" s="106" t="s">
        <v>1192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1193</v>
      </c>
      <c r="E25" s="101" t="s">
        <v>1194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1195</v>
      </c>
      <c r="E26" s="106" t="s">
        <v>1196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1197</v>
      </c>
      <c r="E27" s="101" t="s">
        <v>1198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1199</v>
      </c>
      <c r="E28" s="106" t="s">
        <v>1200</v>
      </c>
      <c r="F28" s="107">
        <v>26</v>
      </c>
    </row>
    <row r="29" spans="1:6" ht="21.4" x14ac:dyDescent="0.35">
      <c r="A29" s="99">
        <f>SUMIF(Sheet1!B:B,Sheet7!E29,Sheet1!H:H)</f>
        <v>122409700</v>
      </c>
      <c r="B29" s="99">
        <v>250000000</v>
      </c>
      <c r="C29" s="99">
        <v>250000000</v>
      </c>
      <c r="D29" s="100" t="s">
        <v>1201</v>
      </c>
      <c r="E29" s="101" t="s">
        <v>352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1202</v>
      </c>
      <c r="E30" s="106" t="s">
        <v>398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1203</v>
      </c>
      <c r="E31" s="101" t="s">
        <v>846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1204</v>
      </c>
      <c r="E32" s="106" t="s">
        <v>411</v>
      </c>
      <c r="F32" s="107">
        <v>30</v>
      </c>
    </row>
    <row r="33" spans="1:6" ht="21.4" x14ac:dyDescent="0.35">
      <c r="A33" s="99">
        <f>SUMIF(Sheet1!B:B,Sheet7!E33,Sheet1!H:H)</f>
        <v>372203500</v>
      </c>
      <c r="B33" s="99">
        <v>315000000</v>
      </c>
      <c r="C33" s="99">
        <v>315000000</v>
      </c>
      <c r="D33" s="100" t="s">
        <v>1205</v>
      </c>
      <c r="E33" s="101" t="s">
        <v>423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1206</v>
      </c>
      <c r="E34" s="106" t="s">
        <v>272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1207</v>
      </c>
      <c r="E35" s="101" t="s">
        <v>662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1208</v>
      </c>
      <c r="E36" s="106" t="s">
        <v>860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1209</v>
      </c>
      <c r="E37" s="101" t="s">
        <v>880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1210</v>
      </c>
      <c r="E38" s="106" t="s">
        <v>1211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1212</v>
      </c>
      <c r="E39" s="101" t="s">
        <v>173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1213</v>
      </c>
      <c r="E40" s="106" t="s">
        <v>1214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1215</v>
      </c>
      <c r="E41" s="101" t="s">
        <v>1216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1217</v>
      </c>
      <c r="E42" s="106" t="s">
        <v>1218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1219</v>
      </c>
      <c r="E43" s="101" t="s">
        <v>1220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1221</v>
      </c>
      <c r="E44" s="106" t="s">
        <v>1222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1223</v>
      </c>
      <c r="E45" s="101" t="s">
        <v>1224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1225</v>
      </c>
      <c r="E46" s="106" t="s">
        <v>1226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13964888587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81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88</v>
      </c>
      <c r="E66" s="102"/>
      <c r="F66" s="102"/>
    </row>
    <row r="67" spans="1:6" ht="22.5" x14ac:dyDescent="0.35">
      <c r="A67" s="99"/>
      <c r="B67" s="118">
        <f t="shared" ref="B67:C67" si="1">B65/B66</f>
        <v>38807065.217391305</v>
      </c>
      <c r="C67" s="118">
        <f t="shared" si="1"/>
        <v>45394021.739130437</v>
      </c>
      <c r="D67" s="119" t="s">
        <v>1227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1228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2026-10-21T14:59:59Z</dcterms:modified>
</cp:coreProperties>
</file>