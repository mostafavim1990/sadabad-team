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CD794DA6-1CAD-4790-960B-D814412B760C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31" i="1" l="1"/>
  <c r="H528" i="1"/>
  <c r="H521" i="1"/>
  <c r="H518" i="1"/>
  <c r="H517" i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<sst xmlns="http://schemas.openxmlformats.org/spreadsheetml/2006/main" count="3610" uniqueCount="1347">
  <si>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</si>
  <si>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</si>
  <si>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</si>
  <si>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</si>
  <si>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</si>
  <si>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</si>
  <si>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</si>
  <si>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</si>
  <si>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</si>
  <si>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</si>
  <si>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</si>
  <si>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</si>
  <si>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</si>
  <si>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</si>
  <si>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</si>
  <si>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</si>
  <si>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</si>
  <si>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</si>
  <si>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</si>
  <si>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</si>
  <si>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</si>
  <si>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</si>
  <si>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</si>
  <si>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</si>
  <si>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</si>
  <si>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</si>
  <si>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</si>
  <si>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</si>
  <si>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</si>
  <si>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</si>
  <si>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</si>
  <si>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</si>
  <si>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</si>
  <si>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</si>
  <si>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</si>
  <si>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</si>
  <si>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</si>
  <si>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</si>
  <si>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</si>
  <si>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</si>
  <si>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</si>
  <si>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</si>
  <si>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</si>
  <si>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</si>
  <si>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</si>
  <si>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</si>
  <si>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</si>
  <si>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</si>
  <si>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</si>
  <si>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</si>
  <si>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</si>
  <si>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</si>
  <si>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</si>
  <si>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</si>
  <si>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</si>
  <si>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</si>
  <si>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</si>
  <si>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</si>
  <si>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</si>
  <si>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</si>
  <si>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</si>
  <si>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</si>
  <si>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</si>
  <si>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</si>
  <si>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</si>
  <si>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</si>
  <si>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</si>
  <si>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</si>
  <si>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</si>
  <si>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</si>
  <si>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</si>
  <si>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</si>
  <si>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</si>
  <si>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</si>
  <si>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</si>
  <si>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</si>
  <si>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</si>
  <si>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</si>
  <si>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</si>
  <si>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</si>
  <si>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</si>
  <si>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</si>
  <si>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</si>
  <si>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</si>
  <si>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</si>
  <si>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</si>
  <si>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</si>
  <si>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</si>
  <si>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</si>
  <si>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</si>
  <si>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</si>
  <si>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</si>
  <si>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</si>
  <si>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</si>
  <si>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</si>
  <si>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</si>
  <si>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</si>
  <si>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</si>
  <si>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</si>
  <si>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</si>
  <si>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</si>
  <si>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</si>
  <si>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</si>
  <si>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</si>
  <si>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</si>
  <si>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</si>
  <si>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</si>
  <si>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</si>
  <si>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</si>
  <si>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</si>
  <si>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</si>
  <si>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</si>
  <si>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</si>
  <si>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</si>
  <si>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</si>
  <si>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</si>
  <si>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</si>
  <si>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</si>
  <si>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</si>
  <si>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</si>
  <si>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</si>
  <si>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</si>
  <si>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</si>
  <si>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</si>
  <si>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</si>
  <si>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</si>
  <si>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</si>
  <si>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</si>
  <si>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</si>
  <si>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</si>
  <si>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</si>
  <si>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</si>
  <si>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</si>
  <si>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</si>
  <si>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</si>
  <si>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</si>
  <si>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</si>
  <si>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</si>
  <si>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</si>
  <si>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</si>
  <si>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</si>
  <si>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</si>
  <si>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</si>
  <si>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</si>
  <si>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</si>
  <si>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</si>
  <si>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</si>
  <si>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</si>
  <si>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</si>
  <si>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</si>
  <si>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</si>
  <si>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</si>
  <si>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</si>
  <si>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</si>
  <si>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</si>
  <si>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</si>
  <si>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</si>
  <si>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</si>
  <si>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</si>
  <si>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</si>
  <si>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</si>
  <si>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</si>
  <si>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</si>
  <si>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</si>
  <si>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</si>
  <si>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</si>
  <si>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</si>
  <si>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</si>
  <si>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</si>
  <si>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</si>
  <si>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</si>
  <si>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</si>
  <si>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</si>
  <si>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</si>
  <si>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</si>
  <si>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</si>
  <si>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</si>
  <si>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</si>
  <si>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</si>
  <si>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</si>
  <si>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</si>
  <si>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</si>
  <si>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</si>
  <si>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</si>
  <si>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</si>
  <si>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</si>
  <si>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</si>
  <si>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</si>
  <si>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</si>
  <si>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</si>
  <si>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</si>
  <si>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</si>
  <si>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</si>
  <si>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</si>
  <si>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</si>
  <si>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</si>
  <si>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</si>
  <si>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</si>
  <si>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</si>
  <si>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</si>
  <si>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</si>
  <si>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</si>
  <si>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</si>
  <si>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</si>
  <si>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</si>
  <si>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</si>
  <si>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</si>
  <si>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</si>
  <si>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</si>
  <si>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</si>
  <si>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</si>
  <si>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</si>
  <si>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</si>
  <si>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</si>
  <si>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</si>
  <si>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</si>
  <si>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</si>
  <si>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</si>
  <si>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</si>
  <si>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</si>
  <si>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</si>
  <si>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</si>
  <si>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</si>
  <si>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</si>
  <si>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</si>
  <si>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</si>
  <si>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</si>
  <si>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</si>
  <si>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</si>
  <si>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</si>
  <si>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</si>
  <si>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</si>
  <si>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</si>
  <si>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</si>
  <si>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</si>
  <si>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</si>
  <si>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</si>
  <si>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</si>
  <si>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</si>
  <si>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</si>
  <si>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</si>
  <si>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</si>
  <si>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</si>
  <si>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</si>
  <si>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</si>
  <si>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</si>
  <si>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</si>
  <si>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</si>
  <si>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</si>
  <si>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</si>
  <si>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</si>
  <si>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</si>
  <si>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</si>
  <si>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</si>
  <si>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</si>
  <si>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</si>
  <si>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</si>
  <si>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</si>
  <si>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</si>
  <si>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</si>
  <si>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</si>
  <si>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</si>
  <si>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</si>
  <si>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</si>
  <si>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</si>
  <si>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</si>
  <si>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</si>
  <si>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</si>
  <si>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</si>
  <si>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</si>
  <si>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</si>
  <si>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</si>
  <si>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</si>
  <si>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</si>
  <si>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</si>
  <si>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</si>
  <si>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</si>
  <si>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</si>
  <si>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</si>
  <si>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</si>
  <si>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</si>
  <si>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</si>
  <si>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</si>
  <si>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</si>
  <si>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</si>
  <si>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</si>
  <si>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</si>
  <si>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</si>
  <si>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</si>
  <si>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</si>
  <si>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</si>
  <si>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</si>
  <si>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</si>
  <si>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</si>
  <si>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</si>
  <si>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</si>
  <si>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</si>
  <si>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</si>
  <si>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</si>
  <si>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</si>
  <si>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</si>
  <si>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</si>
  <si>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</si>
  <si>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</si>
  <si>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</si>
  <si>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</si>
  <si>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</si>
  <si>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</si>
  <si>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</si>
  <si>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</si>
  <si>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</si>
  <si>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</si>
  <si>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</si>
  <si>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</si>
  <si>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</si>
  <si>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</si>
  <si>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</si>
  <si>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</si>
  <si>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</si>
  <si>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</si>
  <si>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</si>
  <si>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</si>
  <si>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</si>
  <si>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</si>
  <si>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</si>
  <si>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</si>
  <si>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</si>
  <si>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</si>
  <si>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</si>
  <si>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</si>
  <si>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</si>
  <si>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</si>
  <si>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</si>
  <si>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</si>
  <si>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</si>
  <si>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</si>
  <si>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</si>
  <si>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</si>
  <si>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</si>
  <si>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</si>
  <si>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</si>
  <si>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</si>
  <si>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</si>
  <si>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</si>
  <si>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</si>
  <si>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</si>
  <si>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</si>
  <si>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</si>
  <si>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</si>
  <si>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</si>
  <si>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</si>
  <si>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</si>
  <si>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</si>
  <si>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</si>
  <si>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</si>
  <si>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</si>
  <si>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</si>
  <si>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</si>
  <si>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</si>
  <si>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</si>
  <si>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</si>
  <si>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</si>
  <si>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</si>
  <si>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</si>
  <si>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</si>
  <si>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</si>
  <si>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</si>
  <si>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</si>
  <si>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</si>
  <si>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</si>
  <si>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</si>
  <si>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</si>
  <si>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</si>
  <si>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</si>
  <si>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</si>
  <si>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</si>
  <si>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</si>
  <si>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</si>
  <si>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</si>
  <si>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</si>
  <si>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</si>
  <si>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</si>
  <si>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</si>
  <si>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</si>
  <si>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</si>
  <si>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</si>
  <si>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</si>
  <si>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</si>
  <si>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</si>
  <si>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</si>
  <si>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</si>
  <si>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</si>
  <si>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</si>
  <si>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</si>
  <si>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</si>
  <si>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</si>
  <si>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</si>
  <si>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</si>
  <si>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</si>
  <si>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</si>
  <si>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</si>
  <si>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</si>
  <si>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</si>
  <si>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</si>
  <si>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</si>
  <si>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</si>
  <si>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</si>
  <si>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</si>
  <si>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</si>
  <si>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</si>
  <si>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</si>
  <si>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</si>
  <si>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</si>
  <si>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</si>
  <si>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</si>
  <si>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</si>
  <si>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</si>
  <si>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</si>
  <si>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</si>
  <si>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</si>
  <si>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</si>
  <si>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</si>
  <si>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</si>
  <si>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</si>
  <si>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</si>
  <si>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</si>
  <si>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</si>
  <si>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</si>
  <si>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</si>
  <si>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</si>
  <si>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</si>
  <si>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</si>
  <si>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</si>
  <si>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</si>
  <si>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</si>
  <si>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</si>
  <si>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</si>
  <si>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</si>
  <si>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</si>
  <si>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</si>
  <si>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</si>
  <si>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</si>
  <si>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</si>
  <si>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</si>
  <si>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</si>
  <si>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</si>
  <si>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</si>
  <si>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</si>
  <si>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</si>
  <si>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</si>
  <si>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</si>
  <si>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</si>
  <si>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</si>
  <si>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</si>
  <si>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</si>
  <si>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</si>
  <si>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</si>
  <si>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</si>
  <si>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</si>
  <si>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</si>
  <si>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</si>
  <si>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</si>
  <si>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</si>
  <si>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</si>
  <si>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</si>
  <si>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</si>
  <si>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</si>
  <si>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</si>
  <si>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</si>
  <si>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</si>
  <si>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</si>
  <si>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</si>
  <si>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</si>
  <si>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</si>
  <si>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</si>
  <si>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</si>
  <si>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</si>
  <si>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</si>
  <si>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</si>
  <si>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</si>
  <si>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</si>
  <si>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</si>
  <si>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</si>
  <si>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</si>
  <si>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</si>
  <si>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</si>
  <si>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</si>
  <si>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</si>
  <si>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</si>
  <si>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</si>
  <si>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</si>
  <si>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</si>
  <si>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</si>
  <si>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</si>
  <si>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</si>
  <si>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</si>
  <si>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</si>
  <si>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</si>
  <si>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</si>
  <si>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</si>
  <si>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</si>
  <si>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</si>
  <si>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</si>
  <si>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</si>
  <si>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</si>
  <si>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</si>
  <si>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</si>
  <si>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</si>
  <si>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</si>
  <si>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</si>
  <si>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</si>
  <si>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</si>
  <si>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</si>
  <si>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</si>
  <si>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</si>
  <si>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</si>
  <si>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</si>
  <si>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</si>
  <si>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</si>
  <si>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</si>
  <si>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</si>
  <si>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</si>
  <si>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</si>
  <si>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</si>
  <si>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</si>
  <si>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</si>
  <si>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</si>
  <si>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</si>
  <si>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</si>
  <si>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</si>
  <si>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</si>
  <si>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</si>
  <si>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</si>
  <si>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</si>
  <si>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</si>
  <si>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</si>
  <si>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</si>
  <si>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</si>
  <si>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</si>
  <si>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</si>
  <si>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</si>
  <si>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</si>
  <si>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</si>
  <si>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</si>
  <si>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</si>
  <si>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</si>
  <si>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</si>
  <si>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</si>
  <si>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</si>
  <si>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</si>
  <si>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</si>
  <si>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</si>
  <si>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</si>
  <si>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</si>
  <si>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</si>
  <si>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</si>
  <si>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</si>
  <si>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</si>
  <si>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</si>
  <si>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</si>
  <si>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</si>
  <si>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</si>
  <si>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</si>
  <si>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</si>
  <si>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</si>
  <si>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</si>
  <si>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</si>
  <si>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</si>
  <si>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</si>
  <si>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</si>
  <si>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</si>
  <si>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</si>
  <si>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</si>
  <si>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</si>
  <si>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</si>
  <si>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</si>
  <si>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</si>
  <si>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</si>
  <si>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</si>
  <si>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</si>
  <si>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</si>
  <si>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</si>
  <si>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</si>
  <si>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</si>
  <si>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</si>
  <si>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</si>
  <si>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</si>
  <si>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</si>
  <si>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</si>
  <si>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</si>
  <si>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</si>
  <si>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</si>
  <si>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</si>
  <si>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</si>
  <si>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</si>
  <si>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</si>
  <si>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</si>
  <si>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</si>
  <si>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</si>
  <si>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</si>
  <si>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</si>
  <si>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</si>
  <si>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</si>
  <si>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</si>
  <si>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</si>
  <si>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</si>
  <si>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</si>
  <si>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</si>
  <si>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</si>
  <si>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</si>
  <si>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</si>
  <si>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</si>
  <si>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</si>
  <si>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</si>
  <si>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</si>
  <si>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</si>
  <si>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</si>
  <si>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</si>
  <si>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</si>
  <si>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</si>
  <si>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</si>
  <si>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</si>
  <si>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</si>
  <si>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</si>
  <si>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</si>
  <si>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</si>
  <si>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</si>
  <si>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</si>
  <si>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</si>
  <si>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</si>
  <si>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</si>
  <si>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</si>
  <si>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</si>
  <si>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</si>
  <si>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</si>
  <si>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</si>
  <si>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</si>
  <si>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</si>
  <si>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</si>
  <si>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</si>
  <si>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</si>
  <si>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</si>
  <si>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</si>
  <si>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</si>
  <si>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</si>
  <si>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</si>
  <si>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</si>
  <si>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</si>
  <si>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</si>
  <si>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</si>
  <si>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</si>
  <si>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</si>
  <si>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</si>
  <si>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</si>
  <si>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</si>
  <si>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</si>
  <si>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</si>
  <si>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</si>
  <si>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</si>
  <si>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</si>
  <si>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</si>
  <si>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</si>
  <si>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</si>
  <si>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</si>
  <si>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</si>
  <si>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</si>
  <si>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</si>
  <si>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</si>
  <si>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</si>
  <si>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</si>
  <si>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</si>
  <si>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</si>
  <si>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</si>
  <si>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</si>
  <si>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</si>
  <si>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</si>
  <si>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</si>
  <si>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</si>
  <si>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</si>
  <si>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</si>
  <si>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</si>
  <si>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</si>
  <si>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</si>
  <si>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</si>
  <si>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</si>
  <si>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</si>
  <si>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</si>
  <si>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</si>
  <si>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</si>
  <si>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</si>
  <si>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</si>
  <si>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</si>
  <si>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</si>
  <si>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</si>
  <si>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</si>
  <si>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</si>
  <si>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</si>
  <si>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</si>
  <si>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</si>
  <si>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</si>
  <si>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</si>
  <si>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</si>
  <si>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</si>
  <si>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</si>
  <si>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</si>
  <si>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</si>
  <si>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</si>
  <si>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</si>
  <si>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</si>
  <si>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</si>
  <si>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</si>
  <si>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</si>
  <si>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</si>
  <si>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</si>
  <si>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</si>
  <si>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</si>
  <si>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</si>
  <si>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</si>
  <si>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</si>
  <si>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</si>
  <si>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</si>
  <si>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</si>
  <si>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</si>
  <si>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</si>
  <si>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</si>
  <si>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</si>
  <si>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</si>
  <si>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</si>
  <si>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</si>
  <si>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</si>
  <si>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</si>
  <si>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</si>
  <si>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</si>
  <si>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</si>
  <si>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</si>
  <si>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</si>
  <si>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</si>
  <si>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</si>
  <si>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</si>
  <si>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</si>
  <si>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</si>
  <si>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</si>
  <si>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</si>
  <si>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</si>
  <si>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</si>
  <si>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</si>
  <si>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</si>
  <si>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</si>
  <si>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</si>
  <si>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</si>
  <si>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</si>
  <si>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</si>
  <si>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</si>
  <si>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</si>
  <si>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</si>
  <si>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</si>
  <si>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</si>
  <si>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</si>
  <si>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</si>
  <si>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</si>
  <si>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</si>
  <si>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</si>
  <si>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</si>
  <si>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</si>
  <si>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</si>
  <si>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</si>
  <si>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</si>
  <si>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</si>
  <si>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</si>
  <si>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</si>
  <si>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</si>
  <si>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</si>
  <si>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</si>
  <si>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</si>
  <si>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</si>
  <si>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</si>
  <si>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</si>
  <si>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</si>
  <si>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</si>
  <si>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</si>
  <si>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</si>
  <si>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</si>
  <si>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</si>
  <si>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</si>
  <si>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</si>
  <si>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</si>
  <si>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</si>
  <si>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</si>
  <si>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</si>
  <si>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</si>
  <si>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</si>
  <si>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</si>
  <si>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</si>
  <si>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</si>
  <si>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</si>
  <si>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</si>
  <si>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</si>
  <si>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</si>
  <si>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</si>
  <si>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</si>
  <si>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</si>
  <si>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</si>
  <si>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</si>
  <si>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</si>
  <si>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</si>
  <si>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</si>
  <si>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</si>
  <si>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</si>
  <si>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</si>
  <si>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</si>
  <si>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</si>
  <si>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</si>
  <si>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</si>
  <si>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</si>
  <si>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</si>
  <si>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</si>
  <si>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</si>
  <si>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</si>
  <si>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</si>
  <si>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</si>
  <si>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</si>
  <si>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</si>
  <si>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</si>
  <si>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</si>
  <si>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</si>
  <si>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</si>
  <si>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</si>
  <si>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</si>
  <si>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</si>
  <si>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</si>
  <si>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</si>
  <si>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</si>
  <si>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</si>
  <si>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</si>
  <si>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</si>
  <si>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</si>
  <si>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</si>
  <si>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</si>
  <si>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</si>
  <si>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</si>
  <si>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</si>
  <si>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</si>
  <si>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</si>
  <si>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</si>
  <si>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</si>
  <si>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</si>
  <si>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</si>
  <si>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</si>
  <si>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</si>
  <si>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</si>
  <si>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</si>
  <si>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</si>
  <si>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</si>
  <si>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</si>
  <si>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</si>
  <si>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</si>
  <si>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</si>
  <si>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</si>
  <si>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</si>
  <si>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</si>
  <si>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</si>
  <si>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</si>
  <si>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</si>
  <si>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</si>
  <si>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</si>
  <si>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</si>
  <si>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</si>
  <si>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</si>
  <si>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</si>
  <si>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</si>
  <si>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</si>
  <si>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</si>
  <si>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</si>
  <si>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</si>
  <si>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</si>
  <si>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</si>
  <si>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</si>
  <si>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</si>
  <si>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</si>
  <si>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</si>
  <si>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</si>
  <si>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</si>
  <si>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</si>
  <si>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</si>
  <si>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</si>
  <si>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</si>
  <si>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</si>
  <si>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</si>
  <si>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</si>
  <si>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</si>
  <si>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</si>
  <si>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</si>
  <si>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</si>
  <si>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</si>
  <si>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</si>
  <si>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</si>
  <si>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</si>
  <si>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</si>
  <si>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</si>
  <si>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</si>
  <si>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</si>
  <si>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</si>
  <si>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</si>
  <si>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</si>
  <si>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</si>
  <si>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</si>
  <si>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</si>
  <si>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</si>
  <si>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</si>
  <si>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</si>
  <si>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</si>
  <si>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</si>
  <si>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</si>
  <si>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</si>
  <si>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</si>
  <si>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</si>
  <si>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</si>
  <si>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</si>
  <si>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</si>
  <si>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</si>
  <si>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</si>
  <si>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</si>
  <si>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</si>
  <si>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</si>
  <si>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</si>
  <si>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</si>
  <si>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</si>
  <si>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</si>
  <si>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</si>
  <si>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</si>
  <si>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</si>
  <si>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</si>
  <si>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</si>
  <si>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</si>
  <si>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</si>
  <si>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</si>
  <si>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</si>
  <si>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</si>
  <si>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</si>
  <si>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</si>
  <si>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</si>
  <si>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</si>
  <si>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</si>
  <si>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</si>
  <si>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</si>
  <si>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</si>
  <si>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</si>
  <si>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</si>
  <si>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</si>
  <si>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</si>
  <si>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</si>
  <si>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</si>
  <si>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</si>
  <si>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</si>
  <si>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</si>
  <si>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</si>
  <si>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</si>
  <si>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</si>
  <si>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</si>
  <si>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</si>
  <si>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</si>
  <si>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</si>
  <si>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</si>
  <si>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</si>
  <si>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</si>
  <si>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</si>
  <si>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</si>
  <si>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</si>
  <si>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</si>
  <si>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</si>
  <si>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</si>
  <si>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</si>
  <si>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</si>
  <si>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</si>
  <si>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</si>
  <si>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</si>
  <si>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</si>
  <si>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</si>
  <si>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</si>
  <si>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</si>
  <si>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</si>
  <si>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</si>
  <si>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</si>
  <si>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</si>
  <si>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</si>
  <si>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</si>
  <si>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</si>
  <si>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</si>
  <si>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</si>
  <si>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</si>
  <si>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</si>
  <si>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</si>
  <si>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</si>
  <si>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</si>
  <si>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</si>
  <si>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</si>
  <si>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</si>
  <si>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</si>
  <si>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</si>
  <si>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</si>
  <si>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</si>
  <si>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</si>
  <si>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</si>
  <si>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</si>
  <si>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</si>
  <si>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</si>
  <si>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</si>
  <si>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</si>
  <si>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</si>
  <si>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</si>
  <si>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</si>
  <si>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</si>
  <si>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</si>
  <si>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</si>
  <si>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</si>
  <si>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</si>
  <si>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</si>
  <si>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</si>
  <si>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</si>
  <si>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</si>
  <si>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</si>
  <si>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</si>
  <si>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</si>
  <si>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</si>
  <si>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</si>
  <si>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</si>
  <si>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</si>
  <si>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</si>
  <si>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</si>
  <si>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</si>
  <si>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</si>
  <si>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</si>
  <si>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</si>
  <si>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</si>
  <si>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</si>
  <si>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</si>
  <si>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</si>
  <si>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</si>
  <si>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</si>
  <si>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</si>
  <si>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</si>
  <si>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</si>
  <si>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</si>
  <si>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</si>
  <si>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</si>
  <si>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</si>
  <si>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</si>
  <si>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</si>
  <si>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</si>
  <si>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</si>
  <si>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</si>
  <si>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</si>
  <si>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</si>
  <si>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</si>
  <si>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</si>
  <si>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</si>
  <si>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</si>
  <si>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</si>
  <si>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</si>
  <si>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</si>
  <si>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</si>
  <si>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</si>
  <si>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</si>
  <si>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</si>
  <si>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</si>
  <si>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</si>
  <si>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</si>
  <si>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</si>
  <si>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</si>
  <si>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</si>
  <si>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</si>
  <si>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</si>
  <si>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</si>
  <si>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</si>
  <si>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</si>
  <si>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</si>
  <si>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</si>
  <si>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</si>
  <si>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</si>
  <si>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</si>
  <si>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</si>
  <si>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</si>
  <si>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</si>
  <si>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</si>
  <si>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</si>
  <si>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</si>
  <si>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</si>
  <si>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</si>
  <si>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</si>
  <si>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</si>
  <si>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</si>
  <si>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</si>
  <si>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</si>
  <si>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</si>
  <si>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</si>
  <si>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</si>
  <si>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</si>
  <si>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</si>
  <si>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</si>
  <si>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</si>
  <si>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</si>
  <si>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</si>
  <si>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</si>
  <si>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</si>
  <si>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</si>
  <si>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</si>
  <si>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</si>
  <si>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</si>
  <si>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</si>
  <si>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</si>
  <si>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</si>
  <si>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</si>
  <si>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</si>
  <si>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</si>
  <si>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</si>
  <si>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</si>
  <si>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</si>
  <si>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</si>
  <si>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</si>
  <si>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</si>
  <si>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</si>
  <si>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</si>
  <si>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</si>
  <si>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</si>
  <si>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</si>
  <si>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</si>
  <si>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</si>
  <si>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</si>
  <si>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</si>
  <si>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</si>
  <si>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</si>
  <si>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</si>
  <si>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</si>
  <si>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</si>
  <si>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</si>
  <si>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</si>
  <si>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</si>
  <si>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</si>
  <si>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</si>
  <si>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</si>
  <si>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</si>
  <si>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</si>
  <si>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</si>
  <si>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</si>
  <si>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</si>
  <si>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</si>
  <si>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</si>
  <si>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</si>
  <si>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</si>
  <si>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</si>
  <si>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</si>
  <si>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</si>
  <si>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</si>
  <si>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</si>
  <si>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</si>
  <si>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</si>
  <si>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</si>
  <si>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</si>
  <si>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</si>
  <si>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</si>
  <si>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</si>
  <si>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</si>
  <si>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</si>
  <si>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</si>
  <si>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</si>
  <si>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</si>
  <si>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</si>
  <si>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</si>
  <si>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</si>
  <si>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</si>
  <si>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</si>
  <si>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</si>
  <si>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</si>
  <si>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</si>
  <si>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</si>
  <si>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</si>
  <si>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</si>
  <si>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</si>
  <si>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</si>
  <si>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</si>
  <si>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</si>
  <si>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</si>
  <si>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</si>
  <si>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</si>
  <si>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</si>
  <si>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</si>
  <si>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</si>
  <si>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</si>
  <si>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</si>
  <si>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</si>
  <si>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</si>
  <si>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</si>
  <si>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</si>
  <si>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</si>
  <si>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</si>
  <si>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</si>
  <si>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</si>
  <si>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</si>
  <si>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</si>
  <si>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</si>
  <si>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</si>
  <si>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</si>
  <si>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</si>
  <si>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</si>
  <si>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</si>
  <si>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</si>
  <si>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</si>
  <si>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</si>
  <si>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</si>
  <si>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</si>
  <si>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</si>
  <si>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</si>
  <si>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</si>
  <si>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</si>
  <si>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</si>
  <si>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</si>
  <si>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</si>
  <si>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</si>
  <si>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</si>
  <si>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</si>
  <si>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</si>
  <si>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</si>
  <si>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</si>
  <si>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</si>
  <si>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</si>
  <si>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</si>
  <si>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</si>
  <si>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</si>
  <si>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</si>
  <si>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</si>
  <si>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</si>
  <si>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</si>
  <si>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</si>
  <si>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</si>
  <si>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</si>
  <si>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</si>
  <si>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</si>
  <si>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</si>
  <si>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</si>
  <si>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</si>
  <si>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</si>
  <si>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</si>
  <si>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</si>
  <si>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</si>
  <si>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</si>
  <si>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</si>
  <si>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</si>
  <si>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</si>
  <si>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</si>
  <si>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</si>
  <si>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</si>
  <si>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</si>
  <si>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</si>
  <si>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</si>
  <si>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</si>
  <si>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</si>
  <si>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</si>
  <si>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</si>
  <si>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</si>
  <si>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</si>
  <si>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</si>
  <si>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</si>
  <si>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</si>
  <si>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</si>
  <si>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</si>
  <si>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</si>
  <si>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</si>
  <si>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</si>
  <si>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</si>
  <si>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</si>
  <si>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</si>
  <si>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</si>
  <si>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</si>
  <si>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</si>
  <si>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</si>
  <si>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</si>
  <si>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</si>
  <si>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</si>
  <si>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</si>
  <si>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</si>
  <si>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</si>
  <si>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</si>
  <si>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</si>
  <si>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</si>
  <si>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</si>
  <si>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</si>
  <si>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</si>
  <si>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</si>
  <si>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</si>
  <si>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</si>
  <si>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</si>
  <si>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</si>
  <si>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</si>
  <si>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</si>
  <si>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</si>
  <si>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</si>
  <si>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</si>
  <si>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</si>
  <si>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</si>
  <si>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</si>
  <si>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</si>
  <si>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</si>
  <si>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</si>
  <si>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</si>
  <si>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</si>
  <si>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</si>
  <si>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</si>
  <si>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</si>
  <si>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</si>
  <si>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</si>
  <si>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</si>
  <si>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</si>
  <si>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</si>
  <si>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صبحانه برای دو کارگر روی بالابر برای آجر </t>
  </si>
  <si>
    <t>1405-08-03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</si>
  <si>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</si>
  <si>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</si>
  <si>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</si>
  <si>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</si>
  <si>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</si>
  <si>
    <t xml:space="preserve">صبحانه برای دو کارگر روی بالابر برای آجر - املت به همراه علی اکبر بنا </t>
  </si>
  <si>
    <t xml:space="preserve">دستمزد کارگر ابولفظل خلیل خلیلی برای کار روی بالابر + کارمزد انتقال </t>
  </si>
  <si>
    <t xml:space="preserve">دستمزد کارگر روی بالابر حسین دماوندی + کارمزد انتقال </t>
  </si>
  <si>
    <t>پرداخت سود</t>
  </si>
  <si>
    <t xml:space="preserve">پرداخت سود بابت به نادعلیزاده بابت خرید چک های فرقانی </t>
  </si>
  <si>
    <t xml:space="preserve">با امید حساب شد 4 آبان </t>
  </si>
  <si>
    <t>کسر شده از چک های داده شده</t>
  </si>
  <si>
    <t xml:space="preserve">خرید سیم جوش 3 یک بسته از کمیل راییجی به صورت نقدی + کارمزد انتقال </t>
  </si>
  <si>
    <t xml:space="preserve">خرید نقدی </t>
  </si>
  <si>
    <t>میله گرد بستر</t>
  </si>
  <si>
    <t>1405-08-05</t>
  </si>
  <si>
    <t>خرید میله گرد بستر 20 عدد از آقای آقایی + کارتخوان توسط امید خریده شد</t>
  </si>
  <si>
    <t xml:space="preserve">خرید آجر </t>
  </si>
  <si>
    <t>1405-10-25</t>
  </si>
  <si>
    <t>آجر برای پشت بام - 6000 عدد 15 سانتی و 5000 عدد 10 سانتی (چک ایران زمین داود)</t>
  </si>
  <si>
    <t>صبحانه + اسکاچ + روغن برای جوشکار</t>
  </si>
  <si>
    <t>1405-08-06</t>
  </si>
  <si>
    <t>خرید برای آبگوشت</t>
  </si>
  <si>
    <t>خرید برای آبگوشت از طرف حاج آقا اسدیان برای بناها و جوشکار + کارتخوان</t>
  </si>
  <si>
    <t xml:space="preserve">پرداخت بخشی از دستمزد روح الله نقی زاده جوشکار بابت پشت بام  + کارمزد انتقال </t>
  </si>
  <si>
    <t xml:space="preserve">بخشی از دستمزد </t>
  </si>
  <si>
    <t>1405-08-08</t>
  </si>
  <si>
    <t xml:space="preserve">صبحانه برای کارگر بالابر امید میرزایی ساندویچ + صبحانه دو نفر محمد و امید </t>
  </si>
  <si>
    <t xml:space="preserve">دستمزد کارگر بالابر امید میرزایی + کارمزد انتقال  </t>
  </si>
  <si>
    <t xml:space="preserve">خرید بلوک از گل محمدی - انتقال به نام همسر ایشان نسا قربانی همسر ابوالفطل گل محمدی +کارمزد </t>
  </si>
  <si>
    <t>خرید های ابزار فروشی</t>
  </si>
  <si>
    <t>چک بابت خرید های متفرقه ابزار - عمدتا جوشکاری از کمیل راییجی = چک ایران زمین داود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</si>
</sst>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14430211748</c:v>
                </c:pt>
                <c:pt idx="1">
                  <c:v>14131788252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A524" zoomScale="105" workbookViewId="0">
      <selection activeCell="A535" sqref="A535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14430211748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19606265.961956523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14430211748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14131788252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658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629400000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4.3616823577605067E-2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3858100500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6199100000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143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1318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1319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1325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1313</v>
      </c>
      <c r="E518" s="61" t="s">
        <v>77</v>
      </c>
      <c r="F518" s="88" t="s">
        <v>1314</v>
      </c>
      <c r="G518" s="90" t="s">
        <v>79</v>
      </c>
      <c r="H518" s="74">
        <f>30100+298000+230000</f>
        <v>558100</v>
      </c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1317</v>
      </c>
      <c r="E519" s="61" t="s">
        <v>77</v>
      </c>
      <c r="F519" s="88" t="s">
        <v>1314</v>
      </c>
      <c r="G519" s="90" t="s">
        <v>79</v>
      </c>
      <c r="H519" s="74">
        <v>3403400</v>
      </c>
      <c r="I519" s="89"/>
      <c r="J519" s="58" t="s">
        <v>1319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1315</v>
      </c>
      <c r="D520" s="61" t="s">
        <v>1316</v>
      </c>
      <c r="E520" s="61" t="s">
        <v>77</v>
      </c>
      <c r="F520" s="88" t="s">
        <v>1314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>
        <v>470</v>
      </c>
      <c r="B521" s="61" t="s">
        <v>251</v>
      </c>
      <c r="C521" s="61" t="s">
        <v>938</v>
      </c>
      <c r="D521" s="61" t="s">
        <v>1320</v>
      </c>
      <c r="E521" s="61" t="s">
        <v>77</v>
      </c>
      <c r="F521" s="88" t="s">
        <v>546</v>
      </c>
      <c r="G521" s="90" t="s">
        <v>817</v>
      </c>
      <c r="H521" s="74">
        <f>43100+122539+185000</f>
        <v>350639</v>
      </c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>
        <v>471</v>
      </c>
      <c r="B522" s="61" t="s">
        <v>251</v>
      </c>
      <c r="C522" s="61" t="s">
        <v>1093</v>
      </c>
      <c r="D522" s="61" t="s">
        <v>1321</v>
      </c>
      <c r="E522" s="61" t="s">
        <v>77</v>
      </c>
      <c r="F522" s="88" t="s">
        <v>546</v>
      </c>
      <c r="G522" s="90" t="s">
        <v>79</v>
      </c>
      <c r="H522" s="74">
        <v>1502000</v>
      </c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>
        <v>472</v>
      </c>
      <c r="B523" s="61" t="s">
        <v>251</v>
      </c>
      <c r="C523" s="61" t="s">
        <v>1093</v>
      </c>
      <c r="D523" s="61" t="s">
        <v>1322</v>
      </c>
      <c r="E523" s="61" t="s">
        <v>77</v>
      </c>
      <c r="F523" s="88" t="s">
        <v>546</v>
      </c>
      <c r="G523" s="90" t="s">
        <v>79</v>
      </c>
      <c r="H523" s="74">
        <v>1702000</v>
      </c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>
        <v>473</v>
      </c>
      <c r="B524" s="61" t="s">
        <v>658</v>
      </c>
      <c r="C524" s="61" t="s">
        <v>1323</v>
      </c>
      <c r="D524" s="61" t="s">
        <v>1324</v>
      </c>
      <c r="E524" s="61" t="s">
        <v>77</v>
      </c>
      <c r="F524" s="88" t="s">
        <v>546</v>
      </c>
      <c r="G524" s="90" t="s">
        <v>79</v>
      </c>
      <c r="H524" s="74">
        <v>164000000</v>
      </c>
      <c r="I524" s="89"/>
      <c r="J524" s="58" t="s">
        <v>1326</v>
      </c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>
        <v>474</v>
      </c>
      <c r="B525" s="61" t="s">
        <v>349</v>
      </c>
      <c r="C525" s="61" t="s">
        <v>1110</v>
      </c>
      <c r="D525" s="61" t="s">
        <v>1327</v>
      </c>
      <c r="E525" s="61" t="s">
        <v>77</v>
      </c>
      <c r="F525" s="88" t="s">
        <v>546</v>
      </c>
      <c r="G525" s="90" t="s">
        <v>79</v>
      </c>
      <c r="H525" s="74">
        <v>2472000</v>
      </c>
      <c r="I525" s="89"/>
      <c r="J525" s="58" t="s">
        <v>1328</v>
      </c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>
        <v>475</v>
      </c>
      <c r="B526" s="61" t="s">
        <v>251</v>
      </c>
      <c r="C526" s="61" t="s">
        <v>1329</v>
      </c>
      <c r="D526" s="61" t="s">
        <v>1331</v>
      </c>
      <c r="E526" s="61" t="s">
        <v>77</v>
      </c>
      <c r="F526" s="88" t="s">
        <v>1330</v>
      </c>
      <c r="G526" s="90" t="s">
        <v>79</v>
      </c>
      <c r="H526" s="74">
        <v>2800000</v>
      </c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>
        <v>476</v>
      </c>
      <c r="B527" s="61" t="s">
        <v>420</v>
      </c>
      <c r="C527" s="61" t="s">
        <v>1332</v>
      </c>
      <c r="D527" s="61" t="s">
        <v>1334</v>
      </c>
      <c r="E527" s="61" t="s">
        <v>542</v>
      </c>
      <c r="F527" s="88" t="s">
        <v>1333</v>
      </c>
      <c r="G527" s="90" t="s">
        <v>79</v>
      </c>
      <c r="H527" s="74">
        <v>151300000</v>
      </c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>
        <v>477</v>
      </c>
      <c r="B528" s="61" t="s">
        <v>349</v>
      </c>
      <c r="C528" s="61" t="s">
        <v>1022</v>
      </c>
      <c r="D528" s="61" t="s">
        <v>1335</v>
      </c>
      <c r="E528" s="61" t="s">
        <v>77</v>
      </c>
      <c r="F528" s="88" t="s">
        <v>1336</v>
      </c>
      <c r="G528" s="90" t="s">
        <v>79</v>
      </c>
      <c r="H528" s="74">
        <f>227000+882000+84000+43100+70000</f>
        <v>1306100</v>
      </c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>
        <v>478</v>
      </c>
      <c r="B529" s="61" t="s">
        <v>349</v>
      </c>
      <c r="C529" s="61" t="s">
        <v>1093</v>
      </c>
      <c r="D529" s="61" t="s">
        <v>1339</v>
      </c>
      <c r="E529" s="61" t="s">
        <v>77</v>
      </c>
      <c r="F529" s="88" t="s">
        <v>1336</v>
      </c>
      <c r="G529" s="90" t="s">
        <v>79</v>
      </c>
      <c r="H529" s="74">
        <v>50005000</v>
      </c>
      <c r="I529" s="89"/>
      <c r="J529" s="58" t="s">
        <v>1340</v>
      </c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>
        <v>479</v>
      </c>
      <c r="B530" s="61" t="s">
        <v>89</v>
      </c>
      <c r="C530" s="61" t="s">
        <v>1337</v>
      </c>
      <c r="D530" s="61" t="s">
        <v>1338</v>
      </c>
      <c r="E530" s="61" t="s">
        <v>77</v>
      </c>
      <c r="F530" s="88" t="s">
        <v>1336</v>
      </c>
      <c r="G530" s="90" t="s">
        <v>79</v>
      </c>
      <c r="H530" s="74">
        <v>6850122</v>
      </c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>
        <v>480</v>
      </c>
      <c r="B531" s="61" t="s">
        <v>251</v>
      </c>
      <c r="C531" s="61" t="s">
        <v>1291</v>
      </c>
      <c r="D531" s="61" t="s">
        <v>1342</v>
      </c>
      <c r="E531" s="61" t="s">
        <v>77</v>
      </c>
      <c r="F531" s="88" t="s">
        <v>1341</v>
      </c>
      <c r="G531" s="90" t="s">
        <v>79</v>
      </c>
      <c r="H531" s="74">
        <f>945000+245000</f>
        <v>1190000</v>
      </c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>
        <v>481</v>
      </c>
      <c r="B532" s="61" t="s">
        <v>251</v>
      </c>
      <c r="C532" s="61" t="s">
        <v>218</v>
      </c>
      <c r="D532" s="61" t="s">
        <v>1343</v>
      </c>
      <c r="E532" s="61" t="s">
        <v>77</v>
      </c>
      <c r="F532" s="88" t="s">
        <v>1341</v>
      </c>
      <c r="G532" s="90" t="s">
        <v>79</v>
      </c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>
        <v>482</v>
      </c>
      <c r="B533" s="61" t="s">
        <v>420</v>
      </c>
      <c r="C533" s="61" t="s">
        <v>1097</v>
      </c>
      <c r="D533" s="61" t="s">
        <v>1344</v>
      </c>
      <c r="E533" s="61" t="s">
        <v>77</v>
      </c>
      <c r="F533" s="88" t="s">
        <v>1341</v>
      </c>
      <c r="G533" s="90" t="s">
        <v>79</v>
      </c>
      <c r="H533" s="74">
        <v>8000000</v>
      </c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>
        <v>483</v>
      </c>
      <c r="B534" s="61" t="s">
        <v>89</v>
      </c>
      <c r="C534" s="61" t="s">
        <v>1345</v>
      </c>
      <c r="D534" s="61" t="s">
        <v>1346</v>
      </c>
      <c r="E534" s="61" t="s">
        <v>542</v>
      </c>
      <c r="F534" s="88" t="s">
        <v>1247</v>
      </c>
      <c r="G534" s="90" t="s">
        <v>79</v>
      </c>
      <c r="H534" s="74">
        <v>50000000</v>
      </c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662083141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188659939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186194800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533406500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629400000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14430211748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19606265.961956523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2026-10-30T19:03:23Z</dcterms:modified>
</cp:coreProperties>
</file>