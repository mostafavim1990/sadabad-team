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3DE427A8-2F38-4170-BBAD-EF65DF826888}" xr6:coauthVersionLast="47" xr6:coauthVersionMax="47" xr10:uidLastSave="{00000000-0000-0000-0000-000000000000}"/>
  <bookViews>
    <workbookView xWindow="-98" yWindow="-98" windowWidth="22695" windowHeight="14595" activeTab="3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00" i="1" l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4" i="5"/>
  <c r="E6" i="5"/>
  <c r="C14" i="4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2" i="1"/>
  <c r="L11" i="1"/>
  <c r="L10" i="1"/>
  <c r="K9" i="1"/>
  <c r="N8" i="1"/>
  <c r="L8" i="1" s="1"/>
  <c r="C15" i="4" l="1"/>
  <c r="C15" i="5"/>
  <c r="C15" i="6"/>
  <c r="K11" i="1"/>
  <c r="C15" i="3"/>
  <c r="A13" i="7"/>
  <c r="C28" i="2"/>
  <c r="N14" i="1" s="1"/>
  <c r="N13" i="1"/>
  <c r="A12" i="7"/>
  <c r="K6" i="1"/>
  <c r="A65" i="7" l="1"/>
  <c r="K8" i="1"/>
  <c r="K12" i="1"/>
  <c r="K14" i="1" s="1"/>
  <c r="K18" i="1"/>
</calcChain>
</file>

<file path=xl/sharedStrings.xml><?xml version="1.0" encoding="utf-8"?>
<sst xmlns="http://schemas.openxmlformats.org/spreadsheetml/2006/main" count="3390" uniqueCount="1278">
  <si>
    <t>خریدار: آقای آقای عباس پسندیده - پروژه چیت سازی</t>
  </si>
  <si>
    <t>خریدار: آقای سید حسن مصطفوی - پروژه چیت سازی</t>
  </si>
  <si>
    <t>خریدار: *********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</si>
  <si>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</si>
  <si>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</si>
  <si>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</si>
  <si>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</si>
  <si>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</si>
  <si>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</si>
  <si>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</si>
  <si>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</si>
  <si>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</si>
  <si>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</si>
  <si>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</si>
  <si>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</si>
  <si>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</si>
  <si>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</si>
  <si>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</si>
  <si>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</si>
  <si>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</si>
  <si>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</si>
  <si>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</si>
  <si>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</si>
  <si>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</si>
  <si>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</si>
  <si>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</si>
  <si>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</si>
  <si>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</si>
  <si>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</si>
  <si>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</si>
  <si>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</si>
  <si>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</si>
  <si>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</si>
  <si>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</si>
  <si>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</si>
  <si>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</si>
  <si>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</si>
  <si>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</si>
  <si>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</si>
  <si>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</si>
  <si>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</si>
  <si>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</si>
  <si>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</si>
  <si>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</si>
  <si>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</si>
  <si>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</si>
  <si>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</si>
  <si>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</si>
  <si>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</si>
  <si>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</si>
  <si>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</si>
  <si>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</si>
  <si>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</si>
  <si>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</si>
  <si>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</si>
  <si>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</si>
  <si>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</si>
  <si>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</si>
  <si>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</si>
  <si>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</si>
  <si>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</si>
  <si>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</si>
  <si>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</si>
  <si>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</si>
  <si>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</si>
  <si>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</si>
  <si>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</si>
  <si>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</si>
  <si>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</si>
  <si>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</si>
  <si>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</si>
  <si>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</si>
  <si>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</si>
  <si>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</si>
  <si>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</si>
  <si>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</si>
  <si>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</si>
  <si>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</si>
  <si>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</si>
  <si>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</si>
  <si>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</si>
  <si>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</si>
  <si>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</si>
  <si>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</si>
  <si>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</si>
  <si>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</si>
  <si>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</si>
  <si>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</si>
  <si>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</si>
  <si>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</si>
  <si>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</si>
  <si>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</si>
  <si>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</si>
  <si>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</si>
  <si>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</si>
  <si>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</si>
  <si>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</si>
  <si>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</si>
  <si>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</si>
  <si>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</si>
  <si>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</si>
  <si>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</si>
  <si>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</si>
  <si>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</si>
  <si>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>قیمت فروش طبقه 2 شمالی</t>
  </si>
  <si>
    <t xml:space="preserve">خرید لپتاپ </t>
  </si>
  <si>
    <t>از بابلسر خریده شده</t>
  </si>
  <si>
    <t>1404/11/13</t>
  </si>
  <si>
    <t>میانگین قیمت فروش (هر متر مربع)</t>
  </si>
  <si>
    <t>قیمت فروش واحد طبقه 2 جنوبی</t>
  </si>
  <si>
    <t>پول غذا  نارون (سه نفر)</t>
  </si>
  <si>
    <t>بابلسر</t>
  </si>
  <si>
    <t>جمع هزینه های انجام شده</t>
  </si>
  <si>
    <t>قیمت فروش طبقه 3 مشترک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</si>
  <si>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</si>
  <si>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</si>
  <si>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</si>
  <si>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</si>
  <si>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</si>
  <si>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</si>
  <si>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</si>
  <si>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</si>
  <si>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</si>
  <si>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</si>
  <si>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</si>
  <si>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</si>
  <si>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</si>
  <si>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</si>
  <si>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</si>
  <si>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</si>
  <si>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</si>
  <si>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</si>
  <si>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</si>
  <si>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</si>
  <si>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</si>
  <si>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</si>
  <si>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</si>
  <si>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</si>
  <si>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</si>
  <si>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</si>
  <si>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</si>
  <si>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</si>
  <si>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</si>
  <si>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</si>
  <si>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</si>
  <si>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</si>
  <si>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</si>
  <si>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</si>
  <si>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</si>
  <si>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</si>
  <si>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</si>
  <si>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</si>
  <si>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</si>
  <si>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</si>
  <si>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</si>
  <si>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</si>
  <si>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</si>
  <si>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</si>
  <si>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</si>
  <si>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</si>
  <si>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</si>
  <si>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</si>
  <si>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</si>
  <si>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</si>
  <si>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</si>
  <si>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</si>
  <si>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</si>
  <si>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</si>
  <si>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</si>
  <si>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</si>
  <si>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</si>
  <si>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</si>
  <si>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</si>
  <si>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</si>
  <si>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</si>
  <si>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</si>
  <si>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</si>
  <si>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</si>
  <si>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</si>
  <si>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</si>
  <si>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</si>
  <si>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</si>
  <si>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</si>
  <si>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</si>
  <si>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</si>
  <si>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</si>
  <si>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</si>
  <si>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</si>
  <si>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</si>
  <si>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</si>
  <si>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</si>
  <si>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</si>
  <si>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</si>
  <si>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</si>
  <si>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</si>
  <si>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</si>
  <si>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</si>
  <si>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</si>
  <si>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</si>
  <si>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</si>
  <si>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</si>
  <si>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</si>
  <si>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</si>
  <si>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</si>
  <si>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</si>
  <si>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</si>
  <si>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</si>
  <si>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</si>
  <si>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</si>
  <si>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</si>
  <si>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</si>
  <si>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</si>
  <si>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</si>
  <si>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</si>
  <si>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</si>
  <si>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</si>
  <si>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</si>
  <si>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</si>
  <si>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</si>
  <si>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</si>
  <si>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</si>
  <si>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</si>
  <si>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</si>
  <si>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</si>
  <si>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</si>
  <si>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</si>
  <si>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</si>
  <si>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</si>
  <si>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</si>
  <si>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</si>
  <si>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</si>
  <si>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</si>
  <si>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</si>
  <si>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</si>
  <si>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</si>
  <si>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</si>
  <si>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</si>
  <si>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</si>
  <si>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</si>
  <si>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</si>
  <si>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</si>
  <si>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</si>
  <si>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</si>
  <si>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</si>
  <si>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</si>
  <si>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</si>
  <si>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</si>
  <si>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</si>
  <si>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</si>
  <si>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</si>
  <si>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</si>
  <si>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</si>
  <si>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</si>
  <si>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</si>
  <si>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</si>
  <si>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</si>
  <si>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</si>
  <si>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</si>
  <si>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</si>
  <si>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</si>
  <si>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</si>
  <si>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</si>
  <si>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</si>
  <si>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</si>
  <si>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</si>
  <si>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</si>
  <si>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</si>
  <si>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</si>
  <si>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</si>
  <si>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</si>
  <si>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</si>
  <si>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</si>
  <si>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</si>
  <si>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</si>
  <si>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</si>
  <si>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</si>
  <si>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</si>
  <si>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</si>
  <si>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</si>
  <si>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</si>
  <si>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</si>
  <si>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</si>
  <si>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</si>
  <si>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</si>
  <si>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</si>
  <si>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</si>
  <si>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</si>
  <si>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</si>
  <si>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</si>
  <si>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</si>
  <si>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</si>
  <si>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</si>
  <si>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</si>
  <si>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</si>
  <si>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</si>
  <si>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</si>
  <si>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</si>
  <si>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</si>
  <si>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</si>
  <si>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</si>
  <si>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</si>
  <si>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</si>
  <si>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</si>
  <si>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</si>
  <si>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</si>
  <si>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</si>
  <si>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</si>
  <si>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</si>
  <si>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</si>
  <si>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</si>
  <si>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</si>
  <si>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</si>
  <si>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</si>
  <si>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</si>
  <si>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</si>
  <si>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</si>
  <si>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</si>
  <si>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</si>
  <si>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</si>
  <si>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</si>
  <si>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</si>
  <si>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</si>
  <si>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</si>
  <si>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</si>
  <si>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</si>
  <si>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</si>
  <si>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</si>
  <si>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</si>
  <si>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</si>
  <si>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</si>
  <si>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</si>
  <si>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</si>
  <si>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</si>
  <si>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</si>
  <si>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 xml:space="preserve">چک مشتری- مهدی فتحی 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</si>
  <si>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</si>
  <si>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</si>
  <si>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</si>
  <si>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</si>
  <si>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</si>
  <si>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</si>
  <si>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</si>
  <si>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</si>
  <si>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</si>
  <si>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چک مشتری - حبیبی اومالی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</si>
  <si>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</si>
  <si>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</si>
  <si>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</si>
  <si>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</si>
  <si>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</si>
  <si>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</si>
  <si>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</si>
  <si>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</si>
  <si>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</si>
  <si>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</si>
  <si>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</si>
  <si>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</si>
  <si>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</si>
  <si>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</si>
  <si>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</si>
  <si>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</si>
  <si>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</si>
  <si>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</si>
  <si>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</si>
  <si>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</si>
  <si>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</si>
  <si>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</si>
  <si>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</si>
  <si>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</si>
  <si>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</si>
  <si>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</si>
  <si>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</si>
  <si>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</si>
  <si>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</si>
  <si>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</si>
  <si>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</si>
  <si>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</si>
  <si>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</si>
  <si>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</si>
  <si>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</si>
  <si>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</si>
  <si>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</si>
  <si>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</si>
  <si>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</si>
  <si>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</si>
  <si>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</si>
  <si>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</si>
  <si>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</si>
  <si>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</si>
  <si>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</si>
  <si>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</si>
  <si>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</si>
  <si>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</si>
  <si>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</si>
  <si>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</si>
  <si>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</si>
  <si>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</si>
  <si>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</si>
  <si>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</si>
  <si>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</si>
  <si>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</si>
  <si>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</si>
  <si>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</si>
  <si>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</si>
  <si>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</si>
  <si>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</si>
  <si>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</si>
  <si>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</si>
  <si>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</si>
  <si>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</si>
  <si>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</si>
  <si>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</si>
  <si>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</si>
  <si>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</si>
  <si>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</si>
  <si>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</si>
  <si>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</si>
  <si>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</si>
  <si>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</si>
  <si>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</si>
  <si>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</si>
  <si>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</si>
  <si>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</si>
  <si>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</si>
  <si>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</si>
  <si>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</si>
  <si>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</si>
  <si>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</si>
  <si>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</si>
  <si>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</si>
  <si>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</si>
  <si>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</si>
  <si>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</si>
  <si>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</si>
  <si>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یک روز بعد پاس شد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</si>
  <si>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</si>
  <si>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</si>
  <si>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</si>
  <si>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</si>
  <si>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</si>
  <si>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</si>
  <si>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</si>
  <si>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</si>
  <si>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</si>
  <si>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</si>
  <si>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</si>
  <si>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</si>
  <si>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</si>
  <si>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</si>
  <si>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</si>
  <si>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</si>
  <si>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</si>
  <si>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</si>
  <si>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</si>
  <si>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</si>
  <si>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</si>
  <si>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</si>
  <si>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</si>
  <si>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</si>
  <si>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</si>
  <si>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</si>
  <si>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</si>
  <si>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</si>
  <si>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</si>
  <si>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</si>
  <si>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</si>
  <si>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</si>
  <si>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</si>
  <si>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</si>
  <si>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</si>
  <si>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</si>
  <si>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</si>
  <si>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</si>
  <si>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</si>
  <si>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</si>
  <si>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</si>
  <si>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</si>
  <si>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</si>
  <si>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</si>
  <si>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</si>
  <si>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</si>
  <si>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</si>
  <si>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</si>
  <si>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</si>
  <si>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</si>
  <si>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</si>
  <si>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</si>
  <si>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</si>
  <si>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</si>
  <si>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</si>
  <si>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</si>
  <si>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</si>
  <si>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</si>
  <si>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</si>
  <si>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</si>
  <si>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</si>
  <si>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</si>
  <si>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</si>
  <si>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</si>
  <si>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</si>
  <si>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</si>
  <si>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</si>
  <si>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</si>
  <si>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</si>
  <si>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</si>
  <si>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</si>
  <si>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</si>
  <si>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</si>
  <si>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</si>
  <si>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</si>
  <si>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</si>
  <si>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</si>
  <si>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</si>
  <si>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</si>
  <si>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</si>
  <si>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</si>
  <si>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</si>
  <si>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</si>
  <si>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</si>
  <si>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</si>
  <si>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</si>
  <si>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</si>
  <si>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</si>
  <si>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</si>
  <si>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</si>
  <si>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</si>
  <si>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</si>
  <si>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</si>
  <si>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</si>
  <si>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</si>
  <si>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</si>
  <si>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</si>
  <si>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</si>
  <si>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</si>
  <si>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</si>
  <si>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</si>
  <si>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</si>
  <si>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</si>
  <si>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</si>
  <si>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</si>
  <si>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</si>
  <si>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</si>
  <si>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</si>
  <si>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</si>
  <si>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</si>
  <si>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</si>
  <si>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</si>
  <si>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</si>
  <si>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</si>
  <si>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</si>
  <si>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</si>
  <si>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</si>
  <si>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</si>
  <si>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</si>
  <si>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</si>
  <si>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</si>
  <si>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</si>
  <si>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</si>
  <si>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</si>
  <si>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</si>
  <si>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</si>
  <si>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</si>
  <si>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</si>
  <si>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</si>
  <si>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</si>
  <si>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</si>
  <si>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</si>
  <si>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</si>
  <si>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</si>
  <si>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</si>
  <si>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</si>
  <si>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</si>
  <si>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</si>
  <si>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</si>
  <si>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</si>
  <si>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</si>
  <si>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</si>
  <si>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</si>
  <si>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</si>
  <si>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</si>
  <si>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</si>
  <si>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</si>
  <si>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</si>
  <si>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</si>
  <si>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</si>
  <si>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</si>
  <si>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</si>
  <si>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</si>
  <si>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</si>
  <si>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</si>
  <si>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</si>
  <si>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</si>
  <si>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</si>
  <si>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</si>
  <si>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</si>
  <si>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</si>
  <si>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</si>
  <si>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</si>
  <si>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</si>
  <si>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</si>
  <si>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</si>
  <si>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</si>
  <si>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</si>
  <si>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</si>
  <si>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</si>
  <si>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</si>
  <si>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</si>
  <si>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</si>
  <si>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</si>
  <si>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</si>
  <si>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</si>
  <si>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</si>
  <si>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</si>
  <si>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</si>
  <si>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</si>
  <si>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</si>
  <si>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</si>
  <si>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</si>
  <si>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</si>
  <si>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</si>
  <si>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</si>
  <si>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</si>
  <si>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</si>
  <si>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</si>
  <si>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</si>
  <si>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</si>
  <si>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</si>
  <si>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</si>
  <si>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</si>
  <si>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</si>
  <si>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</si>
  <si>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</si>
  <si>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</si>
  <si>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</si>
  <si>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</si>
  <si>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</si>
  <si>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</si>
  <si>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</si>
  <si>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</si>
  <si>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</si>
  <si>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</si>
  <si>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</si>
  <si>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</si>
  <si>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</si>
  <si>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</si>
  <si>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</si>
  <si>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</si>
  <si>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</si>
  <si>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</si>
  <si>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</si>
  <si>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</si>
  <si>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</si>
  <si>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</si>
  <si>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</si>
  <si>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</si>
  <si>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</si>
  <si>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</si>
  <si>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</si>
  <si>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</si>
  <si>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</si>
  <si>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</si>
  <si>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</si>
  <si>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</si>
  <si>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</si>
  <si>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</si>
  <si>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</si>
  <si>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</si>
  <si>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</si>
  <si>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</si>
  <si>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</si>
  <si>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</si>
  <si>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</si>
  <si>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</si>
  <si>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</si>
  <si>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</si>
  <si>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</si>
  <si>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</si>
  <si>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</si>
  <si>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</si>
  <si>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</si>
  <si>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</si>
  <si>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</si>
  <si>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</si>
  <si>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</si>
  <si>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</si>
  <si>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</si>
  <si>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</si>
  <si>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</si>
  <si>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</si>
  <si>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</si>
  <si>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</si>
  <si>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</si>
  <si>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</si>
  <si>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</si>
  <si>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</si>
  <si>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</si>
  <si>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</si>
  <si>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</si>
  <si>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</si>
  <si>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</si>
  <si>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</si>
  <si>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</si>
  <si>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</si>
  <si>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</si>
  <si>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</si>
  <si>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</si>
  <si>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</si>
  <si>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</si>
  <si>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</si>
  <si>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</si>
  <si>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</si>
  <si>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</si>
  <si>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</si>
  <si>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</si>
  <si>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</si>
  <si>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</si>
  <si>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</si>
  <si>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</si>
  <si>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</si>
  <si>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</si>
  <si>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</si>
  <si>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</si>
  <si>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</si>
  <si>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</si>
  <si>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</si>
  <si>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</si>
  <si>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</si>
  <si>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</si>
  <si>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</si>
  <si>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</si>
  <si>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</si>
  <si>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</si>
  <si>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</si>
  <si>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</si>
  <si>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</si>
  <si>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</si>
  <si>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</si>
  <si>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</si>
  <si>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</si>
  <si>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</si>
  <si>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</si>
  <si>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</si>
  <si>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</si>
  <si>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</si>
  <si>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</si>
  <si>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</si>
  <si>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</si>
  <si>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</si>
  <si>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</si>
  <si>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</si>
  <si>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</si>
  <si>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</si>
  <si>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</si>
  <si>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</si>
  <si>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</si>
  <si>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</si>
  <si>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</si>
  <si>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</si>
  <si>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</si>
  <si>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</si>
  <si>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</si>
  <si>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</si>
  <si>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</si>
  <si>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</si>
  <si>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</si>
  <si>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</si>
  <si>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</si>
  <si>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</si>
  <si>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</si>
  <si>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</si>
  <si>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</si>
  <si>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</si>
  <si>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</si>
  <si>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</si>
  <si>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</si>
  <si>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</si>
  <si>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</si>
  <si>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</si>
  <si>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</si>
  <si>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</si>
  <si>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</si>
  <si>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</si>
  <si>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</si>
  <si>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</si>
  <si>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</si>
  <si>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</si>
  <si>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</si>
  <si>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</si>
  <si>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</si>
  <si>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</si>
  <si>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</si>
  <si>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</si>
  <si>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</si>
  <si>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</si>
  <si>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</si>
  <si>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</si>
  <si>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</si>
  <si>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</si>
  <si>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</si>
  <si>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</si>
  <si>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</si>
  <si>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</si>
  <si>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</si>
  <si>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</si>
  <si>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</si>
  <si>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</si>
  <si>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</si>
  <si>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</si>
  <si>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</si>
  <si>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</si>
  <si>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</si>
  <si>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</si>
  <si>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</si>
  <si>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</si>
  <si>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</si>
  <si>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</si>
  <si>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</si>
  <si>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</si>
  <si>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</si>
  <si>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</si>
  <si>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</si>
  <si>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</si>
  <si>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</si>
  <si>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</si>
  <si>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</si>
  <si>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</si>
  <si>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</si>
  <si>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</si>
  <si>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</si>
  <si>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</si>
  <si>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</si>
  <si>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</si>
  <si>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</si>
  <si>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</si>
  <si>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</si>
  <si>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</si>
  <si>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</si>
  <si>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</si>
  <si>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</si>
  <si>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</si>
  <si>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</si>
  <si>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</si>
  <si>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</si>
  <si>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</si>
  <si>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</si>
  <si>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</si>
  <si>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</si>
  <si>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</si>
  <si>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</si>
  <si>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</si>
  <si>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</si>
  <si>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</si>
  <si>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</si>
  <si>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</si>
  <si>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</si>
  <si>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</si>
  <si>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</si>
  <si>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</si>
  <si>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</si>
  <si>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</si>
  <si>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</si>
  <si>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</si>
  <si>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</si>
  <si>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</si>
  <si>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</si>
  <si>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</si>
  <si>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</si>
  <si>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</si>
  <si>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</si>
  <si>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</si>
  <si>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</si>
  <si>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</si>
  <si>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</si>
  <si>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</si>
  <si>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</si>
  <si>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</si>
  <si>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</si>
  <si>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</si>
  <si>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</si>
  <si>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</si>
  <si>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</si>
  <si>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</si>
  <si>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</si>
  <si>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</si>
  <si>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</si>
  <si>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</si>
  <si>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</si>
  <si>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</si>
  <si>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</si>
  <si>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</si>
  <si>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</si>
  <si>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</si>
  <si>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</si>
  <si>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</si>
  <si>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</si>
  <si>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</si>
  <si>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</si>
  <si>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</si>
  <si>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</si>
  <si>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</si>
  <si>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</si>
  <si>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</si>
  <si>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</si>
  <si>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</si>
  <si>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</si>
  <si>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</si>
  <si>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</si>
  <si>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</si>
  <si>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</si>
  <si>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</si>
  <si>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</si>
  <si>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</si>
  <si>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</si>
  <si>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</si>
  <si>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</si>
  <si>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</si>
  <si>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</si>
  <si>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</si>
  <si>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</si>
  <si>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</si>
  <si>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</si>
  <si>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</si>
  <si>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</si>
  <si>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</si>
  <si>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</si>
  <si>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</si>
  <si>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</si>
  <si>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</si>
  <si>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</si>
  <si>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</si>
  <si>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</si>
  <si>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</si>
  <si>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</si>
  <si>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</si>
  <si>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</si>
  <si>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</si>
  <si>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</si>
  <si>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</si>
  <si>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</si>
  <si>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</si>
  <si>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</si>
  <si>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</si>
  <si>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</si>
  <si>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</si>
  <si>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</si>
  <si>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</si>
  <si>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>طبقه دوم رو به نما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</si>
  <si>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</si>
  <si>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</si>
  <si>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</si>
  <si>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</si>
  <si>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</si>
  <si>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</si>
  <si>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</si>
  <si>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</si>
  <si>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</si>
  <si>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</si>
  <si>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</si>
  <si>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</si>
  <si>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</si>
  <si>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</si>
  <si>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</si>
  <si>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</si>
  <si>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</si>
  <si>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</si>
  <si>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</si>
  <si>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</si>
  <si>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</si>
  <si>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</si>
  <si>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</si>
  <si>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</si>
  <si>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</si>
  <si>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</si>
  <si>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</si>
  <si>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</si>
  <si>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</si>
  <si>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</si>
  <si>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</si>
  <si>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</si>
  <si>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</si>
  <si>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</si>
  <si>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</si>
  <si>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</si>
  <si>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</si>
  <si>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</si>
  <si>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</si>
  <si>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</si>
  <si>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</si>
  <si>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</si>
  <si>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</si>
  <si>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</si>
  <si>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</si>
  <si>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</si>
  <si>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</si>
  <si>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</si>
  <si>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</si>
  <si>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</si>
  <si>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</si>
  <si>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</si>
  <si>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</si>
  <si>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</si>
  <si>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</si>
  <si>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</si>
  <si>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</si>
  <si>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</si>
  <si>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</si>
  <si>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</si>
  <si>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</si>
  <si>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</si>
  <si>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</si>
  <si>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</si>
  <si>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</si>
  <si>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</si>
  <si>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</si>
  <si>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</si>
  <si>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</si>
  <si>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</si>
  <si>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</si>
  <si>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</si>
  <si>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</si>
  <si>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</si>
  <si>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</si>
  <si>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</si>
  <si>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</si>
  <si>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</si>
  <si>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</si>
  <si>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</si>
  <si>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</si>
  <si>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</si>
  <si>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</si>
  <si>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</si>
  <si>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</si>
  <si>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</si>
  <si>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</si>
  <si>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</si>
  <si>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</si>
  <si>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</si>
  <si>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</si>
  <si>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</si>
  <si>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</si>
  <si>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</si>
  <si>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</si>
  <si>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</si>
  <si>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</si>
  <si>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</si>
  <si>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</si>
  <si>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</si>
  <si>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</si>
  <si>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</si>
  <si>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</si>
  <si>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</si>
  <si>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</si>
  <si>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</si>
  <si>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</si>
  <si>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</si>
  <si>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</si>
  <si>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</si>
  <si>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</si>
  <si>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</si>
  <si>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</si>
  <si>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</si>
  <si>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</si>
  <si>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</si>
  <si>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</si>
  <si>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</si>
  <si>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</si>
  <si>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</si>
  <si>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</si>
  <si>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</si>
  <si>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</si>
  <si>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</si>
  <si>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</si>
  <si>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</si>
  <si>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</si>
  <si>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</si>
  <si>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</si>
  <si>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</si>
  <si>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</si>
  <si>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</si>
  <si>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</si>
  <si>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</si>
  <si>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</si>
  <si>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</si>
  <si>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</si>
  <si>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</si>
  <si>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</si>
  <si>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</si>
  <si>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</si>
  <si>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</si>
  <si>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</si>
  <si>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</si>
  <si>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</si>
  <si>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</si>
  <si>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</si>
  <si>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</si>
  <si>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</si>
  <si>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</si>
  <si>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</si>
  <si>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</si>
  <si>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</si>
  <si>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</si>
  <si>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</si>
  <si>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</si>
  <si>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</si>
  <si>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</si>
  <si>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</si>
  <si>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</si>
  <si>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</si>
  <si>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</si>
  <si>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</si>
  <si>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</si>
  <si>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</si>
  <si>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</si>
  <si>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</si>
  <si>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</si>
  <si>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</si>
  <si>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</si>
  <si>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</si>
  <si>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</si>
  <si>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</si>
  <si>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</si>
  <si>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</si>
  <si>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</si>
  <si>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</si>
  <si>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</si>
  <si>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</si>
  <si>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</si>
  <si>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</si>
  <si>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</si>
  <si>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</si>
  <si>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</si>
  <si>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</si>
  <si>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</si>
  <si>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</si>
  <si>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</si>
  <si>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</si>
  <si>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</si>
  <si>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</si>
  <si>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</si>
  <si>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</si>
  <si>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</si>
  <si>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</si>
  <si>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</si>
  <si>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</si>
  <si>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</si>
  <si>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</si>
  <si>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</si>
  <si>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</si>
  <si>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</si>
  <si>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</si>
  <si>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</si>
  <si>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</si>
  <si>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</si>
  <si>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</si>
  <si>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</si>
  <si>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</si>
  <si>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</si>
  <si>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</si>
  <si>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</si>
  <si>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</si>
  <si>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</si>
  <si>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</si>
  <si>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</si>
  <si>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</si>
  <si>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</si>
  <si>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</si>
  <si>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</si>
  <si>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</si>
  <si>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</si>
  <si>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</si>
  <si>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</si>
  <si>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</si>
  <si>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</si>
  <si>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</si>
  <si>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</si>
  <si>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</si>
  <si>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</si>
  <si>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</si>
  <si>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</si>
  <si>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</si>
  <si>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</si>
  <si>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</si>
  <si>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</si>
  <si>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</si>
  <si>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</si>
  <si>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</si>
  <si>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</si>
  <si>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</si>
  <si>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</si>
  <si>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</si>
  <si>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</si>
  <si>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</si>
  <si>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</si>
  <si>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</si>
  <si>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</si>
  <si>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</si>
  <si>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</si>
  <si>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</si>
  <si>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</si>
  <si>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</si>
  <si>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</si>
  <si>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</si>
  <si>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</si>
  <si>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</si>
  <si>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</si>
  <si>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</si>
  <si>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</si>
  <si>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</si>
  <si>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</si>
  <si>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</si>
  <si>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</si>
  <si>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</si>
  <si>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</si>
  <si>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</si>
  <si>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</si>
  <si>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</si>
  <si>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</si>
  <si>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</si>
  <si>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</si>
  <si>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</si>
  <si>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</si>
  <si>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</si>
  <si>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</si>
  <si>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</si>
  <si>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</si>
  <si>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</si>
  <si>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</si>
  <si>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</si>
  <si>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</si>
  <si>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</si>
  <si>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</si>
  <si>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</si>
  <si>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</si>
  <si>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</si>
  <si>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</si>
  <si>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</si>
  <si>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</si>
  <si>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</si>
  <si>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</si>
  <si>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</si>
  <si>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</si>
  <si>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</si>
  <si>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</si>
  <si>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</si>
  <si>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</si>
  <si>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</si>
  <si>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</si>
  <si>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</si>
  <si>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</si>
  <si>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</si>
  <si>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</si>
  <si>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</si>
  <si>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</si>
  <si>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</si>
  <si>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</si>
  <si>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</si>
  <si>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</si>
  <si>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</si>
  <si>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</si>
  <si>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</si>
  <si>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</si>
  <si>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</si>
  <si>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</si>
  <si>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</si>
  <si>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</si>
  <si>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</si>
  <si>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</si>
  <si>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</si>
  <si>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</si>
  <si>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</si>
  <si>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</si>
  <si>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</si>
  <si>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</si>
  <si>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</si>
  <si>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</si>
  <si>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</si>
  <si>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</si>
  <si>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r>
      <t xml:space="preserve">خریدار: </t>
    </r>
    <r>
      <rPr>
        <b/>
        <sz val="16"/>
        <color rgb="FFFF0000"/>
        <rFont val="B Nazanin"/>
        <charset val="178"/>
      </rPr>
      <t>آقای فرقانی</t>
    </r>
    <r>
      <rPr>
        <b/>
        <sz val="16"/>
        <color rgb="FF000000"/>
        <rFont val="B Nazanin"/>
        <charset val="178"/>
      </rPr>
      <t xml:space="preserve"> - پروژه چیت سازی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</si>
</sst>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0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6"/>
      <color rgb="FFFF0000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51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4" xfId="0" applyFont="1" applyBorder="1" applyAlignment="1">
      <alignment horizontal="right" vertical="center" readingOrder="2"/>
    </xf>
    <xf numFmtId="0" fontId="15" fillId="0" borderId="45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13951936187</c:v>
                </c:pt>
                <c:pt idx="1">
                  <c:v>14610063813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opLeftCell="D394" zoomScale="108" workbookViewId="0">
      <selection activeCell="D489" sqref="D489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27</v>
      </c>
      <c r="B1" s="20"/>
      <c r="C1" s="20"/>
      <c r="D1" s="22" t="s">
        <v>29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6</v>
      </c>
      <c r="B3" s="38" t="s">
        <v>41</v>
      </c>
      <c r="C3" s="40" t="s">
        <v>43</v>
      </c>
      <c r="D3" s="41" t="s">
        <v>45</v>
      </c>
      <c r="E3" s="40" t="s">
        <v>47</v>
      </c>
      <c r="F3" s="43" t="s">
        <v>7</v>
      </c>
      <c r="G3" s="46" t="s">
        <v>49</v>
      </c>
      <c r="H3" s="48" t="s">
        <v>51</v>
      </c>
      <c r="I3" s="40" t="s">
        <v>52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63</v>
      </c>
      <c r="D4" s="64" t="s">
        <v>64</v>
      </c>
      <c r="E4" s="66"/>
      <c r="F4" s="67" t="s">
        <v>68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76</v>
      </c>
      <c r="C6" s="125" t="s">
        <v>77</v>
      </c>
      <c r="D6" s="125" t="s">
        <v>78</v>
      </c>
      <c r="E6" s="125" t="s">
        <v>79</v>
      </c>
      <c r="F6" s="126" t="s">
        <v>80</v>
      </c>
      <c r="G6" s="127" t="s">
        <v>81</v>
      </c>
      <c r="H6" s="127">
        <v>15000000</v>
      </c>
      <c r="I6" s="128"/>
      <c r="J6" s="129" t="s">
        <v>82</v>
      </c>
      <c r="K6" s="130">
        <f>SUM(H:H)</f>
        <v>13951936187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83</v>
      </c>
      <c r="C7" s="125" t="s">
        <v>84</v>
      </c>
      <c r="D7" s="124" t="s">
        <v>85</v>
      </c>
      <c r="E7" s="124" t="s">
        <v>79</v>
      </c>
      <c r="F7" s="126" t="s">
        <v>86</v>
      </c>
      <c r="G7" s="127" t="s">
        <v>81</v>
      </c>
      <c r="H7" s="134">
        <v>1000000</v>
      </c>
      <c r="I7" s="135"/>
      <c r="J7" s="136" t="s">
        <v>87</v>
      </c>
      <c r="K7" s="137">
        <v>736</v>
      </c>
      <c r="L7" s="138" t="s">
        <v>88</v>
      </c>
      <c r="M7" s="139" t="s">
        <v>89</v>
      </c>
      <c r="N7" s="140" t="s">
        <v>82</v>
      </c>
      <c r="O7" s="140" t="s">
        <v>90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91</v>
      </c>
      <c r="C8" s="125" t="s">
        <v>92</v>
      </c>
      <c r="D8" s="124" t="s">
        <v>93</v>
      </c>
      <c r="E8" s="124" t="s">
        <v>79</v>
      </c>
      <c r="F8" s="126" t="s">
        <v>94</v>
      </c>
      <c r="G8" s="127" t="s">
        <v>81</v>
      </c>
      <c r="H8" s="134">
        <v>654000</v>
      </c>
      <c r="I8" s="135"/>
      <c r="J8" s="124" t="s">
        <v>95</v>
      </c>
      <c r="K8" s="141">
        <f>K6/K7</f>
        <v>18956435.036684781</v>
      </c>
      <c r="L8" s="142">
        <f t="shared" ref="L8:L12" si="0">N8/M8</f>
        <v>69500000</v>
      </c>
      <c r="M8" s="143">
        <v>179</v>
      </c>
      <c r="N8" s="144">
        <f>Sheet2!E6</f>
        <v>12440500000</v>
      </c>
      <c r="O8" s="145" t="s">
        <v>96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91</v>
      </c>
      <c r="C9" s="125" t="s">
        <v>97</v>
      </c>
      <c r="D9" s="124" t="s">
        <v>93</v>
      </c>
      <c r="E9" s="124" t="s">
        <v>79</v>
      </c>
      <c r="F9" s="126" t="s">
        <v>98</v>
      </c>
      <c r="G9" s="127" t="s">
        <v>81</v>
      </c>
      <c r="H9" s="134">
        <v>580000</v>
      </c>
      <c r="I9" s="135"/>
      <c r="J9" s="124" t="s">
        <v>99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100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91</v>
      </c>
      <c r="C10" s="125" t="s">
        <v>101</v>
      </c>
      <c r="D10" s="124" t="s">
        <v>93</v>
      </c>
      <c r="E10" s="124" t="s">
        <v>79</v>
      </c>
      <c r="F10" s="146" t="s">
        <v>102</v>
      </c>
      <c r="G10" s="127" t="s">
        <v>81</v>
      </c>
      <c r="H10" s="134">
        <v>1700000</v>
      </c>
      <c r="I10" s="135"/>
      <c r="J10" s="124" t="s">
        <v>103</v>
      </c>
      <c r="K10" s="134">
        <v>2</v>
      </c>
      <c r="L10" s="142">
        <f t="shared" si="0"/>
        <v>0</v>
      </c>
      <c r="M10" s="143">
        <v>87</v>
      </c>
      <c r="N10" s="147"/>
      <c r="O10" s="145" t="s">
        <v>104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91</v>
      </c>
      <c r="C11" s="124" t="s">
        <v>105</v>
      </c>
      <c r="D11" s="124" t="s">
        <v>106</v>
      </c>
      <c r="E11" s="124" t="s">
        <v>79</v>
      </c>
      <c r="F11" s="126" t="s">
        <v>107</v>
      </c>
      <c r="G11" s="127" t="s">
        <v>81</v>
      </c>
      <c r="H11" s="134">
        <v>43700000</v>
      </c>
      <c r="I11" s="135"/>
      <c r="J11" s="124" t="s">
        <v>108</v>
      </c>
      <c r="K11" s="134">
        <f>(SUM(L8:L12))/K10</f>
        <v>69250000</v>
      </c>
      <c r="L11" s="142">
        <f t="shared" si="0"/>
        <v>0</v>
      </c>
      <c r="M11" s="143">
        <v>87</v>
      </c>
      <c r="N11" s="147"/>
      <c r="O11" s="145" t="s">
        <v>109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91</v>
      </c>
      <c r="C12" s="125" t="s">
        <v>110</v>
      </c>
      <c r="D12" s="124" t="s">
        <v>111</v>
      </c>
      <c r="E12" s="124" t="s">
        <v>79</v>
      </c>
      <c r="F12" s="126" t="s">
        <v>107</v>
      </c>
      <c r="G12" s="127" t="s">
        <v>81</v>
      </c>
      <c r="H12" s="134">
        <v>2547500</v>
      </c>
      <c r="I12" s="135"/>
      <c r="J12" s="148" t="s">
        <v>112</v>
      </c>
      <c r="K12" s="149">
        <f>K6</f>
        <v>13951936187</v>
      </c>
      <c r="L12" s="142">
        <f t="shared" si="0"/>
        <v>0</v>
      </c>
      <c r="M12" s="143">
        <v>33</v>
      </c>
      <c r="N12" s="150"/>
      <c r="O12" s="133" t="s">
        <v>113</v>
      </c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114</v>
      </c>
      <c r="C13" s="124" t="s">
        <v>115</v>
      </c>
      <c r="D13" s="124" t="s">
        <v>116</v>
      </c>
      <c r="E13" s="124" t="s">
        <v>79</v>
      </c>
      <c r="F13" s="146" t="s">
        <v>117</v>
      </c>
      <c r="G13" s="127" t="s">
        <v>81</v>
      </c>
      <c r="H13" s="134">
        <v>182000</v>
      </c>
      <c r="I13" s="135"/>
      <c r="J13" s="124" t="s">
        <v>118</v>
      </c>
      <c r="K13" s="134">
        <f>Sheet7!B65</f>
        <v>28562000000</v>
      </c>
      <c r="L13" s="151"/>
      <c r="M13" s="152">
        <f t="shared" ref="M13:N13" si="1">SUM(M8:M12)</f>
        <v>473</v>
      </c>
      <c r="N13" s="153">
        <f t="shared" si="1"/>
        <v>18443500000</v>
      </c>
      <c r="O13" s="154" t="s">
        <v>119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114</v>
      </c>
      <c r="C14" s="124" t="s">
        <v>120</v>
      </c>
      <c r="D14" s="124" t="s">
        <v>93</v>
      </c>
      <c r="E14" s="124" t="s">
        <v>79</v>
      </c>
      <c r="F14" s="146" t="s">
        <v>117</v>
      </c>
      <c r="G14" s="127" t="s">
        <v>81</v>
      </c>
      <c r="H14" s="134">
        <v>2250000</v>
      </c>
      <c r="I14" s="135"/>
      <c r="J14" s="155" t="s">
        <v>121</v>
      </c>
      <c r="K14" s="156">
        <f>K13-K12</f>
        <v>14610063813</v>
      </c>
      <c r="L14" s="151"/>
      <c r="M14" s="157"/>
      <c r="N14" s="158">
        <f>SUM(Sheet2!C28+Sheet3!C15+Sheet4!C15+Sheet5!C15+Sheet6!C15)</f>
        <v>10053000000</v>
      </c>
      <c r="O14" s="159" t="s">
        <v>122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114</v>
      </c>
      <c r="C15" s="124" t="s">
        <v>123</v>
      </c>
      <c r="D15" s="124" t="s">
        <v>124</v>
      </c>
      <c r="E15" s="124" t="s">
        <v>79</v>
      </c>
      <c r="F15" s="146" t="s">
        <v>125</v>
      </c>
      <c r="G15" s="127" t="s">
        <v>81</v>
      </c>
      <c r="H15" s="134">
        <v>23016300</v>
      </c>
      <c r="I15" s="160"/>
      <c r="J15" s="161"/>
      <c r="K15" s="162" t="s">
        <v>126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114</v>
      </c>
      <c r="C16" s="124" t="s">
        <v>127</v>
      </c>
      <c r="D16" s="124" t="s">
        <v>128</v>
      </c>
      <c r="E16" s="124" t="s">
        <v>79</v>
      </c>
      <c r="F16" s="146" t="s">
        <v>129</v>
      </c>
      <c r="G16" s="127" t="s">
        <v>81</v>
      </c>
      <c r="H16" s="134">
        <v>23435966</v>
      </c>
      <c r="I16" s="160"/>
      <c r="J16" s="165" t="s">
        <v>41</v>
      </c>
      <c r="K16" s="166" t="s">
        <v>130</v>
      </c>
      <c r="L16" s="163"/>
      <c r="M16" s="151"/>
      <c r="N16" s="167" t="s">
        <v>8</v>
      </c>
      <c r="O16" s="168" t="s">
        <v>131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114</v>
      </c>
      <c r="C17" s="124" t="s">
        <v>132</v>
      </c>
      <c r="D17" s="124" t="s">
        <v>133</v>
      </c>
      <c r="E17" s="124" t="s">
        <v>79</v>
      </c>
      <c r="F17" s="146" t="s">
        <v>134</v>
      </c>
      <c r="G17" s="127" t="s">
        <v>81</v>
      </c>
      <c r="H17" s="134">
        <v>26930000</v>
      </c>
      <c r="I17" s="160" t="s">
        <v>135</v>
      </c>
      <c r="J17" s="165" t="s">
        <v>136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137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114</v>
      </c>
      <c r="C18" s="124" t="s">
        <v>138</v>
      </c>
      <c r="D18" s="124" t="s">
        <v>139</v>
      </c>
      <c r="E18" s="124" t="s">
        <v>79</v>
      </c>
      <c r="F18" s="146" t="s">
        <v>134</v>
      </c>
      <c r="G18" s="127" t="s">
        <v>81</v>
      </c>
      <c r="H18" s="134">
        <v>108307500</v>
      </c>
      <c r="I18" s="160"/>
      <c r="J18" s="173" t="s">
        <v>140</v>
      </c>
      <c r="K18" s="174">
        <f>K17/K6</f>
        <v>6.4711258559313534E-2</v>
      </c>
      <c r="L18" s="163"/>
      <c r="M18" s="151"/>
      <c r="N18" s="175">
        <f>Sheet3!C14</f>
        <v>3000000000</v>
      </c>
      <c r="O18" s="176" t="s">
        <v>141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114</v>
      </c>
      <c r="C19" s="124" t="s">
        <v>142</v>
      </c>
      <c r="D19" s="124" t="s">
        <v>143</v>
      </c>
      <c r="E19" s="124" t="s">
        <v>79</v>
      </c>
      <c r="F19" s="146" t="s">
        <v>134</v>
      </c>
      <c r="G19" s="127" t="s">
        <v>81</v>
      </c>
      <c r="H19" s="134">
        <v>100007500</v>
      </c>
      <c r="I19" s="160"/>
      <c r="J19" s="173"/>
      <c r="K19" s="177"/>
      <c r="L19" s="163"/>
      <c r="M19" s="151"/>
      <c r="N19" s="178"/>
      <c r="O19" s="179"/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114</v>
      </c>
      <c r="C20" s="125" t="s">
        <v>144</v>
      </c>
      <c r="D20" s="125" t="s">
        <v>145</v>
      </c>
      <c r="E20" s="125" t="s">
        <v>79</v>
      </c>
      <c r="F20" s="126" t="s">
        <v>134</v>
      </c>
      <c r="G20" s="127" t="s">
        <v>81</v>
      </c>
      <c r="H20" s="127">
        <v>154907500</v>
      </c>
      <c r="I20" s="135"/>
      <c r="J20" s="180"/>
      <c r="K20" s="181"/>
      <c r="L20" s="151"/>
      <c r="M20" s="151"/>
      <c r="N20" s="182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114</v>
      </c>
      <c r="C21" s="124" t="s">
        <v>146</v>
      </c>
      <c r="D21" s="124" t="s">
        <v>147</v>
      </c>
      <c r="E21" s="124" t="s">
        <v>148</v>
      </c>
      <c r="F21" s="146" t="s">
        <v>149</v>
      </c>
      <c r="G21" s="127" t="s">
        <v>81</v>
      </c>
      <c r="H21" s="134">
        <v>33900000</v>
      </c>
      <c r="I21" s="135"/>
      <c r="J21" s="183" t="s">
        <v>150</v>
      </c>
      <c r="K21" s="184">
        <f>SUMIF(E:E,"چک",H:H)</f>
        <v>4306800500</v>
      </c>
      <c r="L21" s="151"/>
      <c r="M21" s="151"/>
      <c r="N21" s="185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114</v>
      </c>
      <c r="C22" s="124" t="s">
        <v>151</v>
      </c>
      <c r="D22" s="124" t="s">
        <v>152</v>
      </c>
      <c r="E22" s="124" t="s">
        <v>148</v>
      </c>
      <c r="F22" s="146" t="s">
        <v>18</v>
      </c>
      <c r="G22" s="127" t="s">
        <v>81</v>
      </c>
      <c r="H22" s="134">
        <v>33900000</v>
      </c>
      <c r="I22" s="135"/>
      <c r="J22" s="186" t="s">
        <v>153</v>
      </c>
      <c r="K22" s="187">
        <f>SUMIF(E:E,"چک پاس شده",H:H)</f>
        <v>5549100000</v>
      </c>
      <c r="L22" s="151"/>
      <c r="M22" s="151"/>
      <c r="N22" s="176"/>
      <c r="O22" s="188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114</v>
      </c>
      <c r="C23" s="124" t="s">
        <v>154</v>
      </c>
      <c r="D23" s="124" t="s">
        <v>155</v>
      </c>
      <c r="E23" s="124" t="s">
        <v>79</v>
      </c>
      <c r="F23" s="146" t="s">
        <v>156</v>
      </c>
      <c r="G23" s="127" t="s">
        <v>81</v>
      </c>
      <c r="H23" s="134">
        <v>45000000</v>
      </c>
      <c r="I23" s="135"/>
      <c r="J23" s="124"/>
      <c r="K23" s="134"/>
      <c r="L23" s="151"/>
      <c r="M23" s="157"/>
      <c r="N23" s="189"/>
      <c r="O23" s="180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114</v>
      </c>
      <c r="C24" s="124" t="s">
        <v>157</v>
      </c>
      <c r="D24" s="124" t="s">
        <v>158</v>
      </c>
      <c r="E24" s="124" t="s">
        <v>79</v>
      </c>
      <c r="F24" s="146" t="s">
        <v>159</v>
      </c>
      <c r="G24" s="127" t="s">
        <v>81</v>
      </c>
      <c r="H24" s="134">
        <v>1309000</v>
      </c>
      <c r="I24" s="135"/>
      <c r="J24" s="124"/>
      <c r="K24" s="190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114</v>
      </c>
      <c r="C25" s="124" t="s">
        <v>160</v>
      </c>
      <c r="D25" s="124" t="s">
        <v>161</v>
      </c>
      <c r="E25" s="124" t="s">
        <v>79</v>
      </c>
      <c r="F25" s="146" t="s">
        <v>162</v>
      </c>
      <c r="G25" s="127" t="s">
        <v>81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114</v>
      </c>
      <c r="C26" s="124" t="s">
        <v>160</v>
      </c>
      <c r="D26" s="124" t="s">
        <v>163</v>
      </c>
      <c r="E26" s="124" t="s">
        <v>79</v>
      </c>
      <c r="F26" s="146" t="s">
        <v>162</v>
      </c>
      <c r="G26" s="127" t="s">
        <v>81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114</v>
      </c>
      <c r="C27" s="124" t="s">
        <v>160</v>
      </c>
      <c r="D27" s="124" t="s">
        <v>164</v>
      </c>
      <c r="E27" s="124" t="s">
        <v>79</v>
      </c>
      <c r="F27" s="146" t="s">
        <v>162</v>
      </c>
      <c r="G27" s="127" t="s">
        <v>81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114</v>
      </c>
      <c r="C28" s="124" t="s">
        <v>160</v>
      </c>
      <c r="D28" s="124" t="s">
        <v>165</v>
      </c>
      <c r="E28" s="124" t="s">
        <v>79</v>
      </c>
      <c r="F28" s="146" t="s">
        <v>162</v>
      </c>
      <c r="G28" s="127" t="s">
        <v>81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114</v>
      </c>
      <c r="C29" s="124" t="s">
        <v>160</v>
      </c>
      <c r="D29" s="124" t="s">
        <v>166</v>
      </c>
      <c r="E29" s="124" t="s">
        <v>79</v>
      </c>
      <c r="F29" s="146" t="s">
        <v>162</v>
      </c>
      <c r="G29" s="127" t="s">
        <v>81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114</v>
      </c>
      <c r="C30" s="124" t="s">
        <v>167</v>
      </c>
      <c r="D30" s="124" t="s">
        <v>168</v>
      </c>
      <c r="E30" s="124" t="s">
        <v>79</v>
      </c>
      <c r="F30" s="146" t="s">
        <v>169</v>
      </c>
      <c r="G30" s="127" t="s">
        <v>81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170</v>
      </c>
      <c r="C31" s="124" t="s">
        <v>171</v>
      </c>
      <c r="D31" s="124" t="s">
        <v>172</v>
      </c>
      <c r="E31" s="124" t="s">
        <v>79</v>
      </c>
      <c r="F31" s="146" t="s">
        <v>173</v>
      </c>
      <c r="G31" s="127" t="s">
        <v>81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174</v>
      </c>
      <c r="C32" s="124" t="s">
        <v>175</v>
      </c>
      <c r="D32" s="124" t="s">
        <v>176</v>
      </c>
      <c r="E32" s="124" t="s">
        <v>79</v>
      </c>
      <c r="F32" s="146" t="s">
        <v>173</v>
      </c>
      <c r="G32" s="127" t="s">
        <v>81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177</v>
      </c>
      <c r="C33" s="124" t="s">
        <v>178</v>
      </c>
      <c r="D33" s="124" t="s">
        <v>179</v>
      </c>
      <c r="E33" s="124" t="s">
        <v>79</v>
      </c>
      <c r="F33" s="146" t="s">
        <v>180</v>
      </c>
      <c r="G33" s="127" t="s">
        <v>81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91</v>
      </c>
      <c r="C34" s="124" t="s">
        <v>181</v>
      </c>
      <c r="D34" s="124" t="s">
        <v>182</v>
      </c>
      <c r="E34" s="124" t="s">
        <v>79</v>
      </c>
      <c r="F34" s="146" t="s">
        <v>183</v>
      </c>
      <c r="G34" s="127" t="s">
        <v>81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91</v>
      </c>
      <c r="C35" s="124" t="s">
        <v>184</v>
      </c>
      <c r="D35" s="124" t="s">
        <v>185</v>
      </c>
      <c r="E35" s="124" t="s">
        <v>79</v>
      </c>
      <c r="F35" s="146" t="s">
        <v>180</v>
      </c>
      <c r="G35" s="127" t="s">
        <v>81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114</v>
      </c>
      <c r="C36" s="124" t="s">
        <v>186</v>
      </c>
      <c r="D36" s="124" t="s">
        <v>187</v>
      </c>
      <c r="E36" s="124" t="s">
        <v>79</v>
      </c>
      <c r="F36" s="146" t="s">
        <v>183</v>
      </c>
      <c r="G36" s="127" t="s">
        <v>81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91</v>
      </c>
      <c r="C37" s="124" t="s">
        <v>188</v>
      </c>
      <c r="D37" s="124" t="s">
        <v>189</v>
      </c>
      <c r="E37" s="124" t="s">
        <v>79</v>
      </c>
      <c r="F37" s="146" t="s">
        <v>183</v>
      </c>
      <c r="G37" s="127" t="s">
        <v>81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83</v>
      </c>
      <c r="C38" s="124" t="s">
        <v>190</v>
      </c>
      <c r="D38" s="124" t="s">
        <v>191</v>
      </c>
      <c r="E38" s="124" t="s">
        <v>79</v>
      </c>
      <c r="F38" s="146" t="s">
        <v>192</v>
      </c>
      <c r="G38" s="127" t="s">
        <v>81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91</v>
      </c>
      <c r="C39" s="124" t="s">
        <v>193</v>
      </c>
      <c r="D39" s="124" t="s">
        <v>194</v>
      </c>
      <c r="E39" s="124" t="s">
        <v>79</v>
      </c>
      <c r="F39" s="146" t="s">
        <v>192</v>
      </c>
      <c r="G39" s="127" t="s">
        <v>81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91</v>
      </c>
      <c r="C40" s="124" t="s">
        <v>195</v>
      </c>
      <c r="D40" s="124" t="s">
        <v>196</v>
      </c>
      <c r="E40" s="124" t="s">
        <v>79</v>
      </c>
      <c r="F40" s="146" t="s">
        <v>197</v>
      </c>
      <c r="G40" s="127" t="s">
        <v>81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91</v>
      </c>
      <c r="C41" s="124" t="s">
        <v>198</v>
      </c>
      <c r="D41" s="124" t="s">
        <v>199</v>
      </c>
      <c r="E41" s="124" t="s">
        <v>79</v>
      </c>
      <c r="F41" s="146" t="s">
        <v>197</v>
      </c>
      <c r="G41" s="127" t="s">
        <v>81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91</v>
      </c>
      <c r="C42" s="124" t="s">
        <v>200</v>
      </c>
      <c r="D42" s="124" t="s">
        <v>201</v>
      </c>
      <c r="E42" s="124" t="s">
        <v>79</v>
      </c>
      <c r="F42" s="146" t="s">
        <v>202</v>
      </c>
      <c r="G42" s="127" t="s">
        <v>81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83</v>
      </c>
      <c r="C43" s="124" t="s">
        <v>203</v>
      </c>
      <c r="D43" s="124" t="s">
        <v>204</v>
      </c>
      <c r="E43" s="124" t="s">
        <v>79</v>
      </c>
      <c r="F43" s="146" t="s">
        <v>202</v>
      </c>
      <c r="G43" s="127" t="s">
        <v>81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83</v>
      </c>
      <c r="C44" s="124" t="s">
        <v>205</v>
      </c>
      <c r="D44" s="124" t="s">
        <v>206</v>
      </c>
      <c r="E44" s="124" t="s">
        <v>79</v>
      </c>
      <c r="F44" s="146" t="s">
        <v>202</v>
      </c>
      <c r="G44" s="127" t="s">
        <v>81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83</v>
      </c>
      <c r="C45" s="124" t="s">
        <v>205</v>
      </c>
      <c r="D45" s="124" t="s">
        <v>207</v>
      </c>
      <c r="E45" s="124" t="s">
        <v>79</v>
      </c>
      <c r="F45" s="146" t="s">
        <v>202</v>
      </c>
      <c r="G45" s="127" t="s">
        <v>81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83</v>
      </c>
      <c r="C46" s="124" t="s">
        <v>208</v>
      </c>
      <c r="D46" s="124" t="s">
        <v>209</v>
      </c>
      <c r="E46" s="124" t="s">
        <v>79</v>
      </c>
      <c r="F46" s="146" t="s">
        <v>202</v>
      </c>
      <c r="G46" s="127" t="s">
        <v>81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91</v>
      </c>
      <c r="C47" s="124" t="s">
        <v>210</v>
      </c>
      <c r="D47" s="124" t="s">
        <v>211</v>
      </c>
      <c r="E47" s="124" t="s">
        <v>79</v>
      </c>
      <c r="F47" s="146" t="s">
        <v>212</v>
      </c>
      <c r="G47" s="127" t="s">
        <v>81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83</v>
      </c>
      <c r="C48" s="124" t="s">
        <v>213</v>
      </c>
      <c r="D48" s="124" t="s">
        <v>214</v>
      </c>
      <c r="E48" s="124" t="s">
        <v>79</v>
      </c>
      <c r="F48" s="146" t="s">
        <v>212</v>
      </c>
      <c r="G48" s="127" t="s">
        <v>81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91</v>
      </c>
      <c r="C49" s="124" t="s">
        <v>215</v>
      </c>
      <c r="D49" s="124" t="s">
        <v>216</v>
      </c>
      <c r="E49" s="124" t="s">
        <v>79</v>
      </c>
      <c r="F49" s="146" t="s">
        <v>212</v>
      </c>
      <c r="G49" s="127" t="s">
        <v>81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83</v>
      </c>
      <c r="C50" s="124" t="s">
        <v>217</v>
      </c>
      <c r="D50" s="124" t="s">
        <v>218</v>
      </c>
      <c r="E50" s="124" t="s">
        <v>79</v>
      </c>
      <c r="F50" s="146" t="s">
        <v>212</v>
      </c>
      <c r="G50" s="127" t="s">
        <v>81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91</v>
      </c>
      <c r="C51" s="124" t="s">
        <v>219</v>
      </c>
      <c r="D51" s="124" t="s">
        <v>220</v>
      </c>
      <c r="E51" s="124" t="s">
        <v>79</v>
      </c>
      <c r="F51" s="146" t="s">
        <v>212</v>
      </c>
      <c r="G51" s="127" t="s">
        <v>81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83</v>
      </c>
      <c r="C52" s="124" t="s">
        <v>221</v>
      </c>
      <c r="D52" s="124" t="s">
        <v>222</v>
      </c>
      <c r="E52" s="124" t="s">
        <v>79</v>
      </c>
      <c r="F52" s="146" t="s">
        <v>212</v>
      </c>
      <c r="G52" s="127" t="s">
        <v>81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83</v>
      </c>
      <c r="C53" s="124" t="s">
        <v>223</v>
      </c>
      <c r="D53" s="124" t="s">
        <v>224</v>
      </c>
      <c r="E53" s="124" t="s">
        <v>79</v>
      </c>
      <c r="F53" s="146" t="s">
        <v>212</v>
      </c>
      <c r="G53" s="127" t="s">
        <v>81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83</v>
      </c>
      <c r="C54" s="124" t="s">
        <v>223</v>
      </c>
      <c r="D54" s="124" t="s">
        <v>225</v>
      </c>
      <c r="E54" s="124" t="s">
        <v>79</v>
      </c>
      <c r="F54" s="146" t="s">
        <v>212</v>
      </c>
      <c r="G54" s="127" t="s">
        <v>81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83</v>
      </c>
      <c r="C55" s="124" t="s">
        <v>205</v>
      </c>
      <c r="D55" s="124" t="s">
        <v>226</v>
      </c>
      <c r="E55" s="124" t="s">
        <v>79</v>
      </c>
      <c r="F55" s="146" t="s">
        <v>212</v>
      </c>
      <c r="G55" s="127" t="s">
        <v>81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91</v>
      </c>
      <c r="C56" s="124" t="s">
        <v>227</v>
      </c>
      <c r="D56" s="124" t="s">
        <v>228</v>
      </c>
      <c r="E56" s="124" t="s">
        <v>79</v>
      </c>
      <c r="F56" s="146" t="s">
        <v>229</v>
      </c>
      <c r="G56" s="127" t="s">
        <v>81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83</v>
      </c>
      <c r="C57" s="124" t="s">
        <v>230</v>
      </c>
      <c r="D57" s="124" t="s">
        <v>231</v>
      </c>
      <c r="E57" s="124" t="s">
        <v>79</v>
      </c>
      <c r="F57" s="146" t="s">
        <v>229</v>
      </c>
      <c r="G57" s="127" t="s">
        <v>81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83</v>
      </c>
      <c r="C58" s="124" t="s">
        <v>223</v>
      </c>
      <c r="D58" s="124" t="s">
        <v>232</v>
      </c>
      <c r="E58" s="124" t="s">
        <v>79</v>
      </c>
      <c r="F58" s="146" t="s">
        <v>229</v>
      </c>
      <c r="G58" s="127" t="s">
        <v>81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83</v>
      </c>
      <c r="C59" s="124" t="s">
        <v>223</v>
      </c>
      <c r="D59" s="124" t="s">
        <v>233</v>
      </c>
      <c r="E59" s="124" t="s">
        <v>79</v>
      </c>
      <c r="F59" s="146" t="s">
        <v>229</v>
      </c>
      <c r="G59" s="127" t="s">
        <v>81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234</v>
      </c>
      <c r="C60" s="124" t="s">
        <v>235</v>
      </c>
      <c r="D60" s="124" t="s">
        <v>236</v>
      </c>
      <c r="E60" s="124" t="s">
        <v>79</v>
      </c>
      <c r="F60" s="146" t="s">
        <v>237</v>
      </c>
      <c r="G60" s="127" t="s">
        <v>81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91</v>
      </c>
      <c r="C61" s="124" t="s">
        <v>227</v>
      </c>
      <c r="D61" s="124" t="s">
        <v>238</v>
      </c>
      <c r="E61" s="124" t="s">
        <v>79</v>
      </c>
      <c r="F61" s="146" t="s">
        <v>237</v>
      </c>
      <c r="G61" s="127" t="s">
        <v>81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83</v>
      </c>
      <c r="C62" s="124" t="s">
        <v>217</v>
      </c>
      <c r="D62" s="124" t="s">
        <v>239</v>
      </c>
      <c r="E62" s="124" t="s">
        <v>79</v>
      </c>
      <c r="F62" s="146" t="s">
        <v>237</v>
      </c>
      <c r="G62" s="127" t="s">
        <v>81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91</v>
      </c>
      <c r="C63" s="124" t="s">
        <v>240</v>
      </c>
      <c r="D63" s="124" t="s">
        <v>241</v>
      </c>
      <c r="E63" s="124" t="s">
        <v>79</v>
      </c>
      <c r="F63" s="146" t="s">
        <v>237</v>
      </c>
      <c r="G63" s="127" t="s">
        <v>81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83</v>
      </c>
      <c r="C64" s="124" t="s">
        <v>223</v>
      </c>
      <c r="D64" s="124" t="s">
        <v>242</v>
      </c>
      <c r="E64" s="124" t="s">
        <v>79</v>
      </c>
      <c r="F64" s="146" t="s">
        <v>237</v>
      </c>
      <c r="G64" s="127" t="s">
        <v>81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83</v>
      </c>
      <c r="C65" s="124" t="s">
        <v>223</v>
      </c>
      <c r="D65" s="124" t="s">
        <v>243</v>
      </c>
      <c r="E65" s="124" t="s">
        <v>79</v>
      </c>
      <c r="F65" s="146" t="s">
        <v>237</v>
      </c>
      <c r="G65" s="127" t="s">
        <v>81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83</v>
      </c>
      <c r="C66" s="124" t="s">
        <v>223</v>
      </c>
      <c r="D66" s="124" t="s">
        <v>244</v>
      </c>
      <c r="E66" s="124" t="s">
        <v>79</v>
      </c>
      <c r="F66" s="146" t="s">
        <v>237</v>
      </c>
      <c r="G66" s="127" t="s">
        <v>81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83</v>
      </c>
      <c r="C67" s="124" t="s">
        <v>245</v>
      </c>
      <c r="D67" s="124" t="s">
        <v>246</v>
      </c>
      <c r="E67" s="124" t="s">
        <v>79</v>
      </c>
      <c r="F67" s="146" t="s">
        <v>247</v>
      </c>
      <c r="G67" s="127" t="s">
        <v>81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248</v>
      </c>
      <c r="C68" s="124" t="s">
        <v>249</v>
      </c>
      <c r="D68" s="124" t="s">
        <v>250</v>
      </c>
      <c r="E68" s="124" t="s">
        <v>79</v>
      </c>
      <c r="F68" s="146" t="s">
        <v>247</v>
      </c>
      <c r="G68" s="127" t="s">
        <v>81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248</v>
      </c>
      <c r="C69" s="124" t="s">
        <v>251</v>
      </c>
      <c r="D69" s="124" t="s">
        <v>250</v>
      </c>
      <c r="E69" s="124" t="s">
        <v>79</v>
      </c>
      <c r="F69" s="146" t="s">
        <v>252</v>
      </c>
      <c r="G69" s="127" t="s">
        <v>81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248</v>
      </c>
      <c r="C70" s="124" t="s">
        <v>253</v>
      </c>
      <c r="D70" s="124" t="s">
        <v>254</v>
      </c>
      <c r="E70" s="124" t="s">
        <v>148</v>
      </c>
      <c r="F70" s="146" t="s">
        <v>255</v>
      </c>
      <c r="G70" s="127" t="s">
        <v>81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256</v>
      </c>
      <c r="C71" s="124" t="s">
        <v>217</v>
      </c>
      <c r="D71" s="124" t="s">
        <v>257</v>
      </c>
      <c r="E71" s="124" t="s">
        <v>79</v>
      </c>
      <c r="F71" s="146" t="s">
        <v>252</v>
      </c>
      <c r="G71" s="127" t="s">
        <v>81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91</v>
      </c>
      <c r="C72" s="124" t="s">
        <v>258</v>
      </c>
      <c r="D72" s="124" t="s">
        <v>259</v>
      </c>
      <c r="E72" s="124" t="s">
        <v>79</v>
      </c>
      <c r="F72" s="146" t="s">
        <v>252</v>
      </c>
      <c r="G72" s="127" t="s">
        <v>81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91</v>
      </c>
      <c r="C73" s="124" t="s">
        <v>260</v>
      </c>
      <c r="D73" s="124" t="s">
        <v>261</v>
      </c>
      <c r="E73" s="124" t="s">
        <v>79</v>
      </c>
      <c r="F73" s="146" t="s">
        <v>252</v>
      </c>
      <c r="G73" s="127" t="s">
        <v>81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83</v>
      </c>
      <c r="C74" s="124" t="s">
        <v>223</v>
      </c>
      <c r="D74" s="124" t="s">
        <v>262</v>
      </c>
      <c r="E74" s="124" t="s">
        <v>79</v>
      </c>
      <c r="F74" s="146" t="s">
        <v>252</v>
      </c>
      <c r="G74" s="127" t="s">
        <v>81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83</v>
      </c>
      <c r="C75" s="124" t="s">
        <v>223</v>
      </c>
      <c r="D75" s="124" t="s">
        <v>263</v>
      </c>
      <c r="E75" s="124" t="s">
        <v>79</v>
      </c>
      <c r="F75" s="146" t="s">
        <v>252</v>
      </c>
      <c r="G75" s="127" t="s">
        <v>81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83</v>
      </c>
      <c r="C76" s="124" t="s">
        <v>264</v>
      </c>
      <c r="D76" s="124" t="s">
        <v>265</v>
      </c>
      <c r="E76" s="124" t="s">
        <v>79</v>
      </c>
      <c r="F76" s="146" t="s">
        <v>266</v>
      </c>
      <c r="G76" s="127" t="s">
        <v>81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83</v>
      </c>
      <c r="C77" s="124" t="s">
        <v>267</v>
      </c>
      <c r="D77" s="124" t="s">
        <v>268</v>
      </c>
      <c r="E77" s="124" t="s">
        <v>79</v>
      </c>
      <c r="F77" s="146" t="s">
        <v>266</v>
      </c>
      <c r="G77" s="127" t="s">
        <v>81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91</v>
      </c>
      <c r="C78" s="124" t="s">
        <v>269</v>
      </c>
      <c r="D78" s="124" t="s">
        <v>270</v>
      </c>
      <c r="E78" s="124" t="s">
        <v>79</v>
      </c>
      <c r="F78" s="146" t="s">
        <v>271</v>
      </c>
      <c r="G78" s="127" t="s">
        <v>81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91</v>
      </c>
      <c r="C79" s="124" t="s">
        <v>272</v>
      </c>
      <c r="D79" s="124" t="s">
        <v>273</v>
      </c>
      <c r="E79" s="124" t="s">
        <v>79</v>
      </c>
      <c r="F79" s="146" t="s">
        <v>266</v>
      </c>
      <c r="G79" s="127" t="s">
        <v>81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114</v>
      </c>
      <c r="C80" s="124" t="s">
        <v>274</v>
      </c>
      <c r="D80" s="124" t="s">
        <v>275</v>
      </c>
      <c r="E80" s="124" t="s">
        <v>79</v>
      </c>
      <c r="F80" s="146" t="s">
        <v>271</v>
      </c>
      <c r="G80" s="127" t="s">
        <v>81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83</v>
      </c>
      <c r="C81" s="124" t="s">
        <v>276</v>
      </c>
      <c r="D81" s="124" t="s">
        <v>277</v>
      </c>
      <c r="E81" s="124" t="s">
        <v>79</v>
      </c>
      <c r="F81" s="146" t="s">
        <v>266</v>
      </c>
      <c r="G81" s="127" t="s">
        <v>81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256</v>
      </c>
      <c r="C82" s="124" t="s">
        <v>217</v>
      </c>
      <c r="D82" s="124" t="s">
        <v>278</v>
      </c>
      <c r="E82" s="124" t="s">
        <v>79</v>
      </c>
      <c r="F82" s="146" t="s">
        <v>266</v>
      </c>
      <c r="G82" s="127" t="s">
        <v>81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83</v>
      </c>
      <c r="C83" s="124" t="s">
        <v>223</v>
      </c>
      <c r="D83" s="124" t="s">
        <v>279</v>
      </c>
      <c r="E83" s="124" t="s">
        <v>79</v>
      </c>
      <c r="F83" s="146" t="s">
        <v>266</v>
      </c>
      <c r="G83" s="127" t="s">
        <v>81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83</v>
      </c>
      <c r="C84" s="124" t="s">
        <v>223</v>
      </c>
      <c r="D84" s="124" t="s">
        <v>280</v>
      </c>
      <c r="E84" s="124" t="s">
        <v>79</v>
      </c>
      <c r="F84" s="146" t="s">
        <v>266</v>
      </c>
      <c r="G84" s="127" t="s">
        <v>81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83</v>
      </c>
      <c r="C85" s="124" t="s">
        <v>223</v>
      </c>
      <c r="D85" s="124" t="s">
        <v>281</v>
      </c>
      <c r="E85" s="124" t="s">
        <v>79</v>
      </c>
      <c r="F85" s="146" t="s">
        <v>266</v>
      </c>
      <c r="G85" s="127" t="s">
        <v>81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83</v>
      </c>
      <c r="C86" s="124" t="s">
        <v>223</v>
      </c>
      <c r="D86" s="124" t="s">
        <v>282</v>
      </c>
      <c r="E86" s="124" t="s">
        <v>79</v>
      </c>
      <c r="F86" s="146" t="s">
        <v>266</v>
      </c>
      <c r="G86" s="127" t="s">
        <v>81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91</v>
      </c>
      <c r="C87" s="124" t="s">
        <v>283</v>
      </c>
      <c r="D87" s="124" t="s">
        <v>284</v>
      </c>
      <c r="E87" s="124" t="s">
        <v>79</v>
      </c>
      <c r="F87" s="146" t="s">
        <v>285</v>
      </c>
      <c r="G87" s="127" t="s">
        <v>81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91</v>
      </c>
      <c r="C88" s="124" t="s">
        <v>286</v>
      </c>
      <c r="D88" s="124" t="s">
        <v>287</v>
      </c>
      <c r="E88" s="124" t="s">
        <v>79</v>
      </c>
      <c r="F88" s="146" t="s">
        <v>285</v>
      </c>
      <c r="G88" s="127" t="s">
        <v>81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91</v>
      </c>
      <c r="C89" s="124" t="s">
        <v>288</v>
      </c>
      <c r="D89" s="124" t="s">
        <v>289</v>
      </c>
      <c r="E89" s="124" t="s">
        <v>79</v>
      </c>
      <c r="F89" s="146" t="s">
        <v>285</v>
      </c>
      <c r="G89" s="127" t="s">
        <v>81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130</v>
      </c>
      <c r="C90" s="124" t="s">
        <v>290</v>
      </c>
      <c r="D90" s="124" t="s">
        <v>291</v>
      </c>
      <c r="E90" s="124" t="s">
        <v>79</v>
      </c>
      <c r="F90" s="146" t="s">
        <v>285</v>
      </c>
      <c r="G90" s="127" t="s">
        <v>81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91</v>
      </c>
      <c r="C91" s="124" t="s">
        <v>292</v>
      </c>
      <c r="D91" s="124" t="s">
        <v>293</v>
      </c>
      <c r="E91" s="124" t="s">
        <v>79</v>
      </c>
      <c r="F91" s="146" t="s">
        <v>285</v>
      </c>
      <c r="G91" s="127" t="s">
        <v>81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114</v>
      </c>
      <c r="C92" s="124" t="s">
        <v>294</v>
      </c>
      <c r="D92" s="124" t="s">
        <v>295</v>
      </c>
      <c r="E92" s="124" t="s">
        <v>79</v>
      </c>
      <c r="F92" s="146" t="s">
        <v>285</v>
      </c>
      <c r="G92" s="127" t="s">
        <v>81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130</v>
      </c>
      <c r="C93" s="124" t="s">
        <v>296</v>
      </c>
      <c r="D93" s="124" t="s">
        <v>297</v>
      </c>
      <c r="E93" s="124" t="s">
        <v>79</v>
      </c>
      <c r="F93" s="146" t="s">
        <v>285</v>
      </c>
      <c r="G93" s="127" t="s">
        <v>81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91</v>
      </c>
      <c r="C94" s="124" t="s">
        <v>298</v>
      </c>
      <c r="D94" s="124" t="s">
        <v>299</v>
      </c>
      <c r="E94" s="124" t="s">
        <v>79</v>
      </c>
      <c r="F94" s="146" t="s">
        <v>285</v>
      </c>
      <c r="G94" s="127" t="s">
        <v>81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91</v>
      </c>
      <c r="C95" s="124" t="s">
        <v>300</v>
      </c>
      <c r="D95" s="124" t="s">
        <v>301</v>
      </c>
      <c r="E95" s="124" t="s">
        <v>79</v>
      </c>
      <c r="F95" s="146" t="s">
        <v>285</v>
      </c>
      <c r="G95" s="127" t="s">
        <v>81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91</v>
      </c>
      <c r="C96" s="124" t="s">
        <v>302</v>
      </c>
      <c r="D96" s="124" t="s">
        <v>303</v>
      </c>
      <c r="E96" s="124" t="s">
        <v>79</v>
      </c>
      <c r="F96" s="146" t="s">
        <v>285</v>
      </c>
      <c r="G96" s="127" t="s">
        <v>81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304</v>
      </c>
      <c r="C97" s="124" t="s">
        <v>305</v>
      </c>
      <c r="D97" s="124" t="s">
        <v>306</v>
      </c>
      <c r="E97" s="124" t="s">
        <v>79</v>
      </c>
      <c r="F97" s="146" t="s">
        <v>285</v>
      </c>
      <c r="G97" s="127" t="s">
        <v>81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91</v>
      </c>
      <c r="C98" s="124" t="s">
        <v>307</v>
      </c>
      <c r="D98" s="124" t="s">
        <v>308</v>
      </c>
      <c r="E98" s="124" t="s">
        <v>79</v>
      </c>
      <c r="F98" s="146" t="s">
        <v>309</v>
      </c>
      <c r="G98" s="127" t="s">
        <v>81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248</v>
      </c>
      <c r="C99" s="124" t="s">
        <v>310</v>
      </c>
      <c r="D99" s="124" t="s">
        <v>311</v>
      </c>
      <c r="E99" s="124" t="s">
        <v>79</v>
      </c>
      <c r="F99" s="146" t="s">
        <v>312</v>
      </c>
      <c r="G99" s="127" t="s">
        <v>81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130</v>
      </c>
      <c r="C100" s="124" t="s">
        <v>313</v>
      </c>
      <c r="D100" s="124" t="s">
        <v>314</v>
      </c>
      <c r="E100" s="124" t="s">
        <v>79</v>
      </c>
      <c r="F100" s="146" t="s">
        <v>309</v>
      </c>
      <c r="G100" s="127" t="s">
        <v>81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130</v>
      </c>
      <c r="C101" s="124" t="s">
        <v>313</v>
      </c>
      <c r="D101" s="124" t="s">
        <v>315</v>
      </c>
      <c r="E101" s="124" t="s">
        <v>79</v>
      </c>
      <c r="F101" s="146" t="s">
        <v>309</v>
      </c>
      <c r="G101" s="127" t="s">
        <v>81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130</v>
      </c>
      <c r="C102" s="124" t="s">
        <v>316</v>
      </c>
      <c r="D102" s="124" t="s">
        <v>317</v>
      </c>
      <c r="E102" s="124"/>
      <c r="F102" s="146" t="s">
        <v>309</v>
      </c>
      <c r="G102" s="127" t="s">
        <v>81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318</v>
      </c>
      <c r="C103" s="124" t="s">
        <v>319</v>
      </c>
      <c r="D103" s="124" t="s">
        <v>320</v>
      </c>
      <c r="E103" s="124" t="s">
        <v>148</v>
      </c>
      <c r="F103" s="146" t="s">
        <v>321</v>
      </c>
      <c r="G103" s="127" t="s">
        <v>81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318</v>
      </c>
      <c r="C104" s="124" t="s">
        <v>319</v>
      </c>
      <c r="D104" s="124" t="s">
        <v>322</v>
      </c>
      <c r="E104" s="124" t="s">
        <v>148</v>
      </c>
      <c r="F104" s="146" t="s">
        <v>323</v>
      </c>
      <c r="G104" s="127" t="s">
        <v>81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248</v>
      </c>
      <c r="C105" s="124" t="s">
        <v>324</v>
      </c>
      <c r="D105" s="124" t="s">
        <v>325</v>
      </c>
      <c r="E105" s="124" t="s">
        <v>148</v>
      </c>
      <c r="F105" s="146" t="s">
        <v>312</v>
      </c>
      <c r="G105" s="127" t="s">
        <v>81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248</v>
      </c>
      <c r="C106" s="124" t="s">
        <v>326</v>
      </c>
      <c r="D106" s="124" t="s">
        <v>327</v>
      </c>
      <c r="E106" s="124" t="s">
        <v>148</v>
      </c>
      <c r="F106" s="146" t="s">
        <v>328</v>
      </c>
      <c r="G106" s="127" t="s">
        <v>81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130</v>
      </c>
      <c r="C107" s="124" t="s">
        <v>227</v>
      </c>
      <c r="D107" s="124" t="s">
        <v>329</v>
      </c>
      <c r="E107" s="124" t="s">
        <v>79</v>
      </c>
      <c r="F107" s="146" t="s">
        <v>309</v>
      </c>
      <c r="G107" s="127" t="s">
        <v>81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91</v>
      </c>
      <c r="C108" s="124" t="s">
        <v>330</v>
      </c>
      <c r="D108" s="124" t="s">
        <v>331</v>
      </c>
      <c r="E108" s="124" t="s">
        <v>332</v>
      </c>
      <c r="F108" s="146" t="s">
        <v>333</v>
      </c>
      <c r="G108" s="127" t="s">
        <v>81</v>
      </c>
      <c r="H108" s="134">
        <v>6750000</v>
      </c>
      <c r="I108" s="135"/>
      <c r="J108" s="124" t="s">
        <v>334</v>
      </c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335</v>
      </c>
      <c r="C109" s="124" t="s">
        <v>336</v>
      </c>
      <c r="D109" s="124" t="s">
        <v>337</v>
      </c>
      <c r="E109" s="124" t="s">
        <v>79</v>
      </c>
      <c r="F109" s="146" t="s">
        <v>312</v>
      </c>
      <c r="G109" s="127" t="s">
        <v>81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91</v>
      </c>
      <c r="C110" s="124" t="s">
        <v>338</v>
      </c>
      <c r="D110" s="124" t="s">
        <v>339</v>
      </c>
      <c r="E110" s="124" t="s">
        <v>79</v>
      </c>
      <c r="F110" s="146" t="s">
        <v>312</v>
      </c>
      <c r="G110" s="127" t="s">
        <v>81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91</v>
      </c>
      <c r="C111" s="124" t="s">
        <v>340</v>
      </c>
      <c r="D111" s="124" t="s">
        <v>341</v>
      </c>
      <c r="E111" s="124" t="s">
        <v>79</v>
      </c>
      <c r="F111" s="146" t="s">
        <v>312</v>
      </c>
      <c r="G111" s="127" t="s">
        <v>81</v>
      </c>
      <c r="H111" s="134">
        <v>0</v>
      </c>
      <c r="I111" s="135"/>
      <c r="J111" s="124" t="s">
        <v>342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91</v>
      </c>
      <c r="C112" s="124" t="s">
        <v>298</v>
      </c>
      <c r="D112" s="124" t="s">
        <v>343</v>
      </c>
      <c r="E112" s="124" t="s">
        <v>79</v>
      </c>
      <c r="F112" s="146" t="s">
        <v>312</v>
      </c>
      <c r="G112" s="127" t="s">
        <v>81</v>
      </c>
      <c r="H112" s="134">
        <v>546600</v>
      </c>
      <c r="I112" s="135"/>
      <c r="J112" s="124" t="s">
        <v>344</v>
      </c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91</v>
      </c>
      <c r="C113" s="124" t="s">
        <v>330</v>
      </c>
      <c r="D113" s="124" t="s">
        <v>345</v>
      </c>
      <c r="E113" s="124" t="s">
        <v>332</v>
      </c>
      <c r="F113" s="146" t="s">
        <v>346</v>
      </c>
      <c r="G113" s="127" t="s">
        <v>81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91</v>
      </c>
      <c r="C114" s="124" t="s">
        <v>347</v>
      </c>
      <c r="D114" s="124" t="s">
        <v>348</v>
      </c>
      <c r="E114" s="124" t="s">
        <v>148</v>
      </c>
      <c r="F114" s="146" t="s">
        <v>346</v>
      </c>
      <c r="G114" s="127" t="s">
        <v>81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91</v>
      </c>
      <c r="C115" s="124" t="s">
        <v>347</v>
      </c>
      <c r="D115" s="124" t="s">
        <v>349</v>
      </c>
      <c r="E115" s="124" t="s">
        <v>148</v>
      </c>
      <c r="F115" s="146" t="s">
        <v>350</v>
      </c>
      <c r="G115" s="127" t="s">
        <v>81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91</v>
      </c>
      <c r="C116" s="124" t="s">
        <v>347</v>
      </c>
      <c r="D116" s="124" t="s">
        <v>351</v>
      </c>
      <c r="E116" s="124" t="s">
        <v>148</v>
      </c>
      <c r="F116" s="146" t="s">
        <v>352</v>
      </c>
      <c r="G116" s="127" t="s">
        <v>81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91</v>
      </c>
      <c r="C117" s="124" t="s">
        <v>353</v>
      </c>
      <c r="D117" s="124" t="s">
        <v>354</v>
      </c>
      <c r="E117" s="124" t="s">
        <v>148</v>
      </c>
      <c r="F117" s="146" t="s">
        <v>355</v>
      </c>
      <c r="G117" s="127" t="s">
        <v>81</v>
      </c>
      <c r="H117" s="134">
        <v>25000000</v>
      </c>
      <c r="I117" s="191" t="s">
        <v>52</v>
      </c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356</v>
      </c>
      <c r="C118" s="124" t="s">
        <v>357</v>
      </c>
      <c r="D118" s="124" t="s">
        <v>358</v>
      </c>
      <c r="E118" s="124" t="s">
        <v>79</v>
      </c>
      <c r="F118" s="146" t="s">
        <v>312</v>
      </c>
      <c r="G118" s="127" t="s">
        <v>81</v>
      </c>
      <c r="H118" s="134">
        <v>1700000</v>
      </c>
      <c r="I118" s="192" t="s">
        <v>52</v>
      </c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335</v>
      </c>
      <c r="C119" s="124" t="s">
        <v>359</v>
      </c>
      <c r="D119" s="124" t="s">
        <v>360</v>
      </c>
      <c r="E119" s="124" t="s">
        <v>79</v>
      </c>
      <c r="F119" s="146" t="s">
        <v>312</v>
      </c>
      <c r="G119" s="127" t="s">
        <v>81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361</v>
      </c>
      <c r="C120" s="124" t="s">
        <v>362</v>
      </c>
      <c r="D120" s="124" t="s">
        <v>363</v>
      </c>
      <c r="E120" s="124" t="s">
        <v>79</v>
      </c>
      <c r="F120" s="146" t="s">
        <v>321</v>
      </c>
      <c r="G120" s="127" t="s">
        <v>81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361</v>
      </c>
      <c r="C121" s="124" t="s">
        <v>364</v>
      </c>
      <c r="D121" s="124" t="s">
        <v>365</v>
      </c>
      <c r="E121" s="124" t="s">
        <v>79</v>
      </c>
      <c r="F121" s="146" t="s">
        <v>321</v>
      </c>
      <c r="G121" s="127" t="s">
        <v>81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361</v>
      </c>
      <c r="C122" s="124" t="s">
        <v>366</v>
      </c>
      <c r="D122" s="124" t="s">
        <v>367</v>
      </c>
      <c r="E122" s="124" t="s">
        <v>79</v>
      </c>
      <c r="F122" s="146" t="s">
        <v>368</v>
      </c>
      <c r="G122" s="127" t="s">
        <v>81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361</v>
      </c>
      <c r="C123" s="124" t="s">
        <v>369</v>
      </c>
      <c r="D123" s="124" t="s">
        <v>370</v>
      </c>
      <c r="E123" s="124" t="s">
        <v>79</v>
      </c>
      <c r="F123" s="146" t="s">
        <v>368</v>
      </c>
      <c r="G123" s="127" t="s">
        <v>81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318</v>
      </c>
      <c r="C124" s="124" t="s">
        <v>371</v>
      </c>
      <c r="D124" s="124" t="s">
        <v>372</v>
      </c>
      <c r="E124" s="124" t="s">
        <v>79</v>
      </c>
      <c r="F124" s="146" t="s">
        <v>321</v>
      </c>
      <c r="G124" s="127" t="s">
        <v>81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177</v>
      </c>
      <c r="C125" s="124" t="s">
        <v>373</v>
      </c>
      <c r="D125" s="124" t="s">
        <v>374</v>
      </c>
      <c r="E125" s="124" t="s">
        <v>79</v>
      </c>
      <c r="F125" s="146" t="s">
        <v>321</v>
      </c>
      <c r="G125" s="127" t="s">
        <v>81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177</v>
      </c>
      <c r="C126" s="124" t="s">
        <v>375</v>
      </c>
      <c r="D126" s="124" t="s">
        <v>376</v>
      </c>
      <c r="E126" s="124" t="s">
        <v>79</v>
      </c>
      <c r="F126" s="146" t="s">
        <v>377</v>
      </c>
      <c r="G126" s="127" t="s">
        <v>81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335</v>
      </c>
      <c r="C127" s="124" t="s">
        <v>378</v>
      </c>
      <c r="D127" s="124" t="s">
        <v>379</v>
      </c>
      <c r="E127" s="124" t="s">
        <v>79</v>
      </c>
      <c r="F127" s="146" t="s">
        <v>380</v>
      </c>
      <c r="G127" s="127" t="s">
        <v>81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91</v>
      </c>
      <c r="C128" s="124" t="s">
        <v>298</v>
      </c>
      <c r="D128" s="124" t="s">
        <v>381</v>
      </c>
      <c r="E128" s="124" t="s">
        <v>79</v>
      </c>
      <c r="F128" s="146" t="s">
        <v>377</v>
      </c>
      <c r="G128" s="127" t="s">
        <v>81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130</v>
      </c>
      <c r="C129" s="124" t="s">
        <v>382</v>
      </c>
      <c r="D129" s="124" t="s">
        <v>383</v>
      </c>
      <c r="E129" s="124" t="s">
        <v>79</v>
      </c>
      <c r="F129" s="146" t="s">
        <v>380</v>
      </c>
      <c r="G129" s="127" t="s">
        <v>81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130</v>
      </c>
      <c r="C130" s="124" t="s">
        <v>384</v>
      </c>
      <c r="D130" s="124" t="s">
        <v>385</v>
      </c>
      <c r="E130" s="124" t="s">
        <v>79</v>
      </c>
      <c r="F130" s="146" t="s">
        <v>386</v>
      </c>
      <c r="G130" s="127" t="s">
        <v>81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248</v>
      </c>
      <c r="C131" s="124" t="s">
        <v>387</v>
      </c>
      <c r="D131" s="124" t="s">
        <v>388</v>
      </c>
      <c r="E131" s="124" t="s">
        <v>79</v>
      </c>
      <c r="F131" s="146" t="s">
        <v>389</v>
      </c>
      <c r="G131" s="127" t="s">
        <v>81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248</v>
      </c>
      <c r="C132" s="124" t="s">
        <v>390</v>
      </c>
      <c r="D132" s="124" t="s">
        <v>391</v>
      </c>
      <c r="E132" s="124" t="s">
        <v>148</v>
      </c>
      <c r="F132" s="146" t="s">
        <v>392</v>
      </c>
      <c r="G132" s="127" t="s">
        <v>81</v>
      </c>
      <c r="H132" s="134">
        <v>450000000</v>
      </c>
      <c r="I132" s="135"/>
      <c r="J132" s="124" t="s">
        <v>393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361</v>
      </c>
      <c r="C133" s="124" t="s">
        <v>394</v>
      </c>
      <c r="D133" s="124" t="s">
        <v>395</v>
      </c>
      <c r="E133" s="124" t="s">
        <v>79</v>
      </c>
      <c r="F133" s="146" t="s">
        <v>386</v>
      </c>
      <c r="G133" s="127" t="s">
        <v>81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361</v>
      </c>
      <c r="C134" s="124" t="s">
        <v>396</v>
      </c>
      <c r="D134" s="124" t="s">
        <v>397</v>
      </c>
      <c r="E134" s="124" t="s">
        <v>79</v>
      </c>
      <c r="F134" s="146" t="s">
        <v>386</v>
      </c>
      <c r="G134" s="127" t="s">
        <v>81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361</v>
      </c>
      <c r="C135" s="124" t="s">
        <v>398</v>
      </c>
      <c r="D135" s="124" t="s">
        <v>399</v>
      </c>
      <c r="E135" s="124" t="s">
        <v>79</v>
      </c>
      <c r="F135" s="146" t="s">
        <v>386</v>
      </c>
      <c r="G135" s="127" t="s">
        <v>81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318</v>
      </c>
      <c r="C136" s="124" t="s">
        <v>400</v>
      </c>
      <c r="D136" s="124" t="s">
        <v>401</v>
      </c>
      <c r="E136" s="124" t="s">
        <v>79</v>
      </c>
      <c r="F136" s="146" t="s">
        <v>386</v>
      </c>
      <c r="G136" s="127" t="s">
        <v>81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402</v>
      </c>
      <c r="C137" s="124" t="s">
        <v>217</v>
      </c>
      <c r="D137" s="124" t="s">
        <v>403</v>
      </c>
      <c r="E137" s="124" t="s">
        <v>79</v>
      </c>
      <c r="F137" s="146" t="s">
        <v>404</v>
      </c>
      <c r="G137" s="127" t="s">
        <v>81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402</v>
      </c>
      <c r="C138" s="124" t="s">
        <v>213</v>
      </c>
      <c r="D138" s="124" t="s">
        <v>405</v>
      </c>
      <c r="E138" s="124" t="s">
        <v>79</v>
      </c>
      <c r="F138" s="146" t="s">
        <v>404</v>
      </c>
      <c r="G138" s="127" t="s">
        <v>81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402</v>
      </c>
      <c r="C139" s="124" t="s">
        <v>406</v>
      </c>
      <c r="D139" s="124" t="s">
        <v>407</v>
      </c>
      <c r="E139" s="124" t="s">
        <v>79</v>
      </c>
      <c r="F139" s="146" t="s">
        <v>404</v>
      </c>
      <c r="G139" s="127" t="s">
        <v>81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402</v>
      </c>
      <c r="C140" s="124" t="s">
        <v>406</v>
      </c>
      <c r="D140" s="124" t="s">
        <v>408</v>
      </c>
      <c r="E140" s="124" t="s">
        <v>79</v>
      </c>
      <c r="F140" s="146" t="s">
        <v>404</v>
      </c>
      <c r="G140" s="127" t="s">
        <v>81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402</v>
      </c>
      <c r="C141" s="124" t="s">
        <v>409</v>
      </c>
      <c r="D141" s="124" t="s">
        <v>410</v>
      </c>
      <c r="E141" s="124" t="s">
        <v>79</v>
      </c>
      <c r="F141" s="146" t="s">
        <v>404</v>
      </c>
      <c r="G141" s="127" t="s">
        <v>81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402</v>
      </c>
      <c r="C142" s="124" t="s">
        <v>411</v>
      </c>
      <c r="D142" s="124" t="s">
        <v>412</v>
      </c>
      <c r="E142" s="124" t="s">
        <v>79</v>
      </c>
      <c r="F142" s="146" t="s">
        <v>404</v>
      </c>
      <c r="G142" s="127" t="s">
        <v>81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402</v>
      </c>
      <c r="C143" s="124" t="s">
        <v>223</v>
      </c>
      <c r="D143" s="124" t="s">
        <v>413</v>
      </c>
      <c r="E143" s="124" t="s">
        <v>79</v>
      </c>
      <c r="F143" s="146" t="s">
        <v>404</v>
      </c>
      <c r="G143" s="127" t="s">
        <v>81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402</v>
      </c>
      <c r="C144" s="124" t="s">
        <v>223</v>
      </c>
      <c r="D144" s="124" t="s">
        <v>414</v>
      </c>
      <c r="E144" s="124" t="s">
        <v>79</v>
      </c>
      <c r="F144" s="146" t="s">
        <v>404</v>
      </c>
      <c r="G144" s="127" t="s">
        <v>81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415</v>
      </c>
      <c r="C145" s="124" t="s">
        <v>416</v>
      </c>
      <c r="D145" s="124" t="s">
        <v>417</v>
      </c>
      <c r="E145" s="124" t="s">
        <v>148</v>
      </c>
      <c r="F145" s="146" t="s">
        <v>418</v>
      </c>
      <c r="G145" s="127" t="s">
        <v>81</v>
      </c>
      <c r="H145" s="134">
        <v>26000000</v>
      </c>
      <c r="I145" s="135"/>
      <c r="J145" s="124" t="s">
        <v>419</v>
      </c>
      <c r="K145" s="134" t="s">
        <v>420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415</v>
      </c>
      <c r="C146" s="124" t="s">
        <v>416</v>
      </c>
      <c r="D146" s="124" t="s">
        <v>421</v>
      </c>
      <c r="E146" s="124" t="s">
        <v>148</v>
      </c>
      <c r="F146" s="146" t="s">
        <v>422</v>
      </c>
      <c r="G146" s="127" t="s">
        <v>81</v>
      </c>
      <c r="H146" s="134">
        <v>26000000</v>
      </c>
      <c r="I146" s="135"/>
      <c r="J146" s="124" t="s">
        <v>423</v>
      </c>
      <c r="K146" s="134" t="s">
        <v>424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402</v>
      </c>
      <c r="C147" s="124" t="s">
        <v>217</v>
      </c>
      <c r="D147" s="124" t="s">
        <v>425</v>
      </c>
      <c r="E147" s="124" t="s">
        <v>79</v>
      </c>
      <c r="F147" s="146" t="s">
        <v>426</v>
      </c>
      <c r="G147" s="127" t="s">
        <v>81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427</v>
      </c>
      <c r="C148" s="124" t="s">
        <v>428</v>
      </c>
      <c r="D148" s="124" t="s">
        <v>429</v>
      </c>
      <c r="E148" s="124" t="s">
        <v>79</v>
      </c>
      <c r="F148" s="146" t="s">
        <v>426</v>
      </c>
      <c r="G148" s="127" t="s">
        <v>81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91</v>
      </c>
      <c r="C149" s="124" t="s">
        <v>205</v>
      </c>
      <c r="D149" s="124" t="s">
        <v>430</v>
      </c>
      <c r="E149" s="124" t="s">
        <v>79</v>
      </c>
      <c r="F149" s="146" t="s">
        <v>426</v>
      </c>
      <c r="G149" s="127" t="s">
        <v>81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427</v>
      </c>
      <c r="C150" s="124" t="s">
        <v>431</v>
      </c>
      <c r="D150" s="124" t="s">
        <v>432</v>
      </c>
      <c r="E150" s="124" t="s">
        <v>148</v>
      </c>
      <c r="F150" s="146" t="s">
        <v>433</v>
      </c>
      <c r="G150" s="127" t="s">
        <v>81</v>
      </c>
      <c r="H150" s="134">
        <v>38100000</v>
      </c>
      <c r="I150" s="135"/>
      <c r="J150" s="124" t="s">
        <v>434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91</v>
      </c>
      <c r="C151" s="124" t="s">
        <v>435</v>
      </c>
      <c r="D151" s="124" t="s">
        <v>436</v>
      </c>
      <c r="E151" s="124" t="s">
        <v>79</v>
      </c>
      <c r="F151" s="146" t="s">
        <v>426</v>
      </c>
      <c r="G151" s="127" t="s">
        <v>81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256</v>
      </c>
      <c r="C152" s="124" t="s">
        <v>223</v>
      </c>
      <c r="D152" s="124" t="s">
        <v>437</v>
      </c>
      <c r="E152" s="124" t="s">
        <v>79</v>
      </c>
      <c r="F152" s="146" t="s">
        <v>438</v>
      </c>
      <c r="G152" s="127" t="s">
        <v>81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415</v>
      </c>
      <c r="C153" s="124" t="s">
        <v>439</v>
      </c>
      <c r="D153" s="124" t="s">
        <v>440</v>
      </c>
      <c r="E153" s="124" t="s">
        <v>79</v>
      </c>
      <c r="F153" s="146" t="s">
        <v>438</v>
      </c>
      <c r="G153" s="127" t="s">
        <v>81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130</v>
      </c>
      <c r="C154" s="124" t="s">
        <v>441</v>
      </c>
      <c r="D154" s="124" t="s">
        <v>442</v>
      </c>
      <c r="E154" s="124" t="s">
        <v>79</v>
      </c>
      <c r="F154" s="146" t="s">
        <v>386</v>
      </c>
      <c r="G154" s="127" t="s">
        <v>81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130</v>
      </c>
      <c r="C155" s="124" t="s">
        <v>443</v>
      </c>
      <c r="D155" s="124" t="s">
        <v>444</v>
      </c>
      <c r="E155" s="124" t="s">
        <v>79</v>
      </c>
      <c r="F155" s="146" t="s">
        <v>386</v>
      </c>
      <c r="G155" s="127" t="s">
        <v>81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256</v>
      </c>
      <c r="C156" s="124" t="s">
        <v>223</v>
      </c>
      <c r="D156" s="124" t="s">
        <v>445</v>
      </c>
      <c r="E156" s="124" t="s">
        <v>79</v>
      </c>
      <c r="F156" s="146" t="s">
        <v>446</v>
      </c>
      <c r="G156" s="127" t="s">
        <v>81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427</v>
      </c>
      <c r="C157" s="124" t="s">
        <v>447</v>
      </c>
      <c r="D157" s="124" t="s">
        <v>448</v>
      </c>
      <c r="E157" s="124" t="s">
        <v>79</v>
      </c>
      <c r="F157" s="146" t="s">
        <v>446</v>
      </c>
      <c r="G157" s="127" t="s">
        <v>81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427</v>
      </c>
      <c r="C158" s="124" t="s">
        <v>447</v>
      </c>
      <c r="D158" s="124" t="s">
        <v>449</v>
      </c>
      <c r="E158" s="124" t="s">
        <v>79</v>
      </c>
      <c r="F158" s="146" t="s">
        <v>446</v>
      </c>
      <c r="G158" s="127" t="s">
        <v>81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256</v>
      </c>
      <c r="C159" s="124" t="s">
        <v>223</v>
      </c>
      <c r="D159" s="124" t="s">
        <v>450</v>
      </c>
      <c r="E159" s="124" t="s">
        <v>79</v>
      </c>
      <c r="F159" s="146" t="s">
        <v>446</v>
      </c>
      <c r="G159" s="127" t="s">
        <v>81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256</v>
      </c>
      <c r="C160" s="124" t="s">
        <v>217</v>
      </c>
      <c r="D160" s="124" t="s">
        <v>451</v>
      </c>
      <c r="E160" s="124" t="s">
        <v>79</v>
      </c>
      <c r="F160" s="146" t="s">
        <v>446</v>
      </c>
      <c r="G160" s="127" t="s">
        <v>81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256</v>
      </c>
      <c r="C161" s="124" t="s">
        <v>217</v>
      </c>
      <c r="D161" s="124" t="s">
        <v>451</v>
      </c>
      <c r="E161" s="124" t="s">
        <v>79</v>
      </c>
      <c r="F161" s="146" t="s">
        <v>446</v>
      </c>
      <c r="G161" s="127" t="s">
        <v>81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91</v>
      </c>
      <c r="C162" s="124" t="s">
        <v>452</v>
      </c>
      <c r="D162" s="124" t="s">
        <v>453</v>
      </c>
      <c r="E162" s="124" t="s">
        <v>79</v>
      </c>
      <c r="F162" s="146" t="s">
        <v>446</v>
      </c>
      <c r="G162" s="127" t="s">
        <v>81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256</v>
      </c>
      <c r="C163" s="124" t="s">
        <v>398</v>
      </c>
      <c r="D163" s="124" t="s">
        <v>454</v>
      </c>
      <c r="E163" s="124" t="s">
        <v>79</v>
      </c>
      <c r="F163" s="146" t="s">
        <v>446</v>
      </c>
      <c r="G163" s="127" t="s">
        <v>81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91</v>
      </c>
      <c r="C164" s="124" t="s">
        <v>455</v>
      </c>
      <c r="D164" s="124" t="s">
        <v>456</v>
      </c>
      <c r="E164" s="124" t="s">
        <v>79</v>
      </c>
      <c r="F164" s="146" t="s">
        <v>328</v>
      </c>
      <c r="G164" s="127" t="s">
        <v>81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234</v>
      </c>
      <c r="C165" s="124" t="s">
        <v>457</v>
      </c>
      <c r="D165" s="124" t="s">
        <v>458</v>
      </c>
      <c r="E165" s="124" t="s">
        <v>79</v>
      </c>
      <c r="F165" s="146" t="s">
        <v>4</v>
      </c>
      <c r="G165" s="127" t="s">
        <v>81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256</v>
      </c>
      <c r="C166" s="124" t="s">
        <v>217</v>
      </c>
      <c r="D166" s="124" t="s">
        <v>459</v>
      </c>
      <c r="E166" s="124" t="s">
        <v>79</v>
      </c>
      <c r="F166" s="146" t="s">
        <v>4</v>
      </c>
      <c r="G166" s="127" t="s">
        <v>81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256</v>
      </c>
      <c r="C167" s="124" t="s">
        <v>223</v>
      </c>
      <c r="D167" s="124" t="s">
        <v>437</v>
      </c>
      <c r="E167" s="124" t="s">
        <v>79</v>
      </c>
      <c r="F167" s="146" t="s">
        <v>460</v>
      </c>
      <c r="G167" s="127" t="s">
        <v>81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256</v>
      </c>
      <c r="C168" s="124" t="s">
        <v>223</v>
      </c>
      <c r="D168" s="124" t="s">
        <v>461</v>
      </c>
      <c r="E168" s="124" t="s">
        <v>79</v>
      </c>
      <c r="F168" s="146" t="s">
        <v>462</v>
      </c>
      <c r="G168" s="127" t="s">
        <v>81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402</v>
      </c>
      <c r="C169" s="124" t="s">
        <v>463</v>
      </c>
      <c r="D169" s="124" t="s">
        <v>464</v>
      </c>
      <c r="E169" s="124" t="s">
        <v>79</v>
      </c>
      <c r="F169" s="146" t="s">
        <v>4</v>
      </c>
      <c r="G169" s="127" t="s">
        <v>81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91</v>
      </c>
      <c r="C170" s="124" t="s">
        <v>465</v>
      </c>
      <c r="D170" s="124" t="s">
        <v>466</v>
      </c>
      <c r="E170" s="124" t="s">
        <v>79</v>
      </c>
      <c r="F170" s="146" t="s">
        <v>4</v>
      </c>
      <c r="G170" s="127" t="s">
        <v>81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256</v>
      </c>
      <c r="C171" s="124" t="s">
        <v>217</v>
      </c>
      <c r="D171" s="124" t="s">
        <v>467</v>
      </c>
      <c r="E171" s="124" t="s">
        <v>79</v>
      </c>
      <c r="F171" s="146" t="s">
        <v>460</v>
      </c>
      <c r="G171" s="127" t="s">
        <v>81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256</v>
      </c>
      <c r="C172" s="124" t="s">
        <v>223</v>
      </c>
      <c r="D172" s="124" t="s">
        <v>468</v>
      </c>
      <c r="E172" s="124" t="s">
        <v>79</v>
      </c>
      <c r="F172" s="146" t="s">
        <v>460</v>
      </c>
      <c r="G172" s="127" t="s">
        <v>81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256</v>
      </c>
      <c r="C173" s="124" t="s">
        <v>223</v>
      </c>
      <c r="D173" s="124" t="s">
        <v>469</v>
      </c>
      <c r="E173" s="124" t="s">
        <v>79</v>
      </c>
      <c r="F173" s="146" t="s">
        <v>460</v>
      </c>
      <c r="G173" s="127" t="s">
        <v>81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256</v>
      </c>
      <c r="C174" s="124" t="s">
        <v>470</v>
      </c>
      <c r="D174" s="124" t="s">
        <v>471</v>
      </c>
      <c r="E174" s="124" t="s">
        <v>79</v>
      </c>
      <c r="F174" s="146" t="s">
        <v>460</v>
      </c>
      <c r="G174" s="127" t="s">
        <v>81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472</v>
      </c>
      <c r="C175" s="124" t="s">
        <v>473</v>
      </c>
      <c r="D175" s="124" t="s">
        <v>474</v>
      </c>
      <c r="E175" s="124" t="s">
        <v>148</v>
      </c>
      <c r="F175" s="146" t="s">
        <v>37</v>
      </c>
      <c r="G175" s="127" t="s">
        <v>81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472</v>
      </c>
      <c r="C176" s="124" t="s">
        <v>475</v>
      </c>
      <c r="D176" s="124" t="s">
        <v>476</v>
      </c>
      <c r="E176" s="124" t="s">
        <v>79</v>
      </c>
      <c r="F176" s="146" t="s">
        <v>460</v>
      </c>
      <c r="G176" s="127" t="s">
        <v>81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256</v>
      </c>
      <c r="C177" s="124" t="s">
        <v>188</v>
      </c>
      <c r="D177" s="124" t="s">
        <v>477</v>
      </c>
      <c r="E177" s="124" t="s">
        <v>79</v>
      </c>
      <c r="F177" s="146" t="s">
        <v>460</v>
      </c>
      <c r="G177" s="127" t="s">
        <v>81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91</v>
      </c>
      <c r="C178" s="124" t="s">
        <v>478</v>
      </c>
      <c r="D178" s="124" t="s">
        <v>479</v>
      </c>
      <c r="E178" s="124" t="s">
        <v>79</v>
      </c>
      <c r="F178" s="146" t="s">
        <v>480</v>
      </c>
      <c r="G178" s="127" t="s">
        <v>81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91</v>
      </c>
      <c r="C179" s="124" t="s">
        <v>481</v>
      </c>
      <c r="D179" s="124" t="s">
        <v>482</v>
      </c>
      <c r="E179" s="124" t="s">
        <v>79</v>
      </c>
      <c r="F179" s="146" t="s">
        <v>19</v>
      </c>
      <c r="G179" s="127" t="s">
        <v>81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248</v>
      </c>
      <c r="C180" s="124" t="s">
        <v>483</v>
      </c>
      <c r="D180" s="124" t="s">
        <v>484</v>
      </c>
      <c r="E180" s="124" t="s">
        <v>148</v>
      </c>
      <c r="F180" s="146" t="s">
        <v>485</v>
      </c>
      <c r="G180" s="127" t="s">
        <v>81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76</v>
      </c>
      <c r="C181" s="124" t="s">
        <v>486</v>
      </c>
      <c r="D181" s="124" t="s">
        <v>487</v>
      </c>
      <c r="E181" s="124" t="s">
        <v>488</v>
      </c>
      <c r="F181" s="146" t="s">
        <v>55</v>
      </c>
      <c r="G181" s="127" t="s">
        <v>81</v>
      </c>
      <c r="H181" s="134">
        <v>0</v>
      </c>
      <c r="I181" s="135"/>
      <c r="J181" s="124" t="s">
        <v>489</v>
      </c>
      <c r="K181" s="134" t="s">
        <v>490</v>
      </c>
      <c r="L181" s="151" t="s">
        <v>491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130</v>
      </c>
      <c r="C182" s="124" t="s">
        <v>492</v>
      </c>
      <c r="D182" s="124" t="s">
        <v>493</v>
      </c>
      <c r="E182" s="124" t="s">
        <v>79</v>
      </c>
      <c r="F182" s="146" t="s">
        <v>19</v>
      </c>
      <c r="G182" s="127" t="s">
        <v>81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130</v>
      </c>
      <c r="C183" s="124" t="s">
        <v>492</v>
      </c>
      <c r="D183" s="124" t="s">
        <v>494</v>
      </c>
      <c r="E183" s="124" t="s">
        <v>79</v>
      </c>
      <c r="F183" s="146" t="s">
        <v>19</v>
      </c>
      <c r="G183" s="127" t="s">
        <v>81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130</v>
      </c>
      <c r="C184" s="124" t="s">
        <v>495</v>
      </c>
      <c r="D184" s="124" t="s">
        <v>496</v>
      </c>
      <c r="E184" s="124" t="s">
        <v>79</v>
      </c>
      <c r="F184" s="146" t="s">
        <v>480</v>
      </c>
      <c r="G184" s="127" t="s">
        <v>81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91</v>
      </c>
      <c r="C185" s="124" t="s">
        <v>497</v>
      </c>
      <c r="D185" s="124" t="s">
        <v>498</v>
      </c>
      <c r="E185" s="124" t="s">
        <v>79</v>
      </c>
      <c r="F185" s="146" t="s">
        <v>19</v>
      </c>
      <c r="G185" s="127" t="s">
        <v>81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91</v>
      </c>
      <c r="C186" s="124" t="s">
        <v>499</v>
      </c>
      <c r="D186" s="124" t="s">
        <v>500</v>
      </c>
      <c r="E186" s="124" t="s">
        <v>79</v>
      </c>
      <c r="F186" s="146" t="s">
        <v>37</v>
      </c>
      <c r="G186" s="127" t="s">
        <v>81</v>
      </c>
      <c r="H186" s="134">
        <v>30003000</v>
      </c>
      <c r="I186" s="192" t="s">
        <v>52</v>
      </c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356</v>
      </c>
      <c r="C187" s="124" t="s">
        <v>501</v>
      </c>
      <c r="D187" s="124" t="s">
        <v>502</v>
      </c>
      <c r="E187" s="124" t="s">
        <v>79</v>
      </c>
      <c r="F187" s="146" t="s">
        <v>480</v>
      </c>
      <c r="G187" s="127" t="s">
        <v>81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248</v>
      </c>
      <c r="C188" s="124" t="s">
        <v>503</v>
      </c>
      <c r="D188" s="124" t="s">
        <v>504</v>
      </c>
      <c r="E188" s="124" t="s">
        <v>79</v>
      </c>
      <c r="F188" s="146" t="s">
        <v>37</v>
      </c>
      <c r="G188" s="127" t="s">
        <v>81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130</v>
      </c>
      <c r="C189" s="124" t="s">
        <v>505</v>
      </c>
      <c r="D189" s="124" t="s">
        <v>506</v>
      </c>
      <c r="E189" s="124" t="s">
        <v>79</v>
      </c>
      <c r="F189" s="146" t="s">
        <v>37</v>
      </c>
      <c r="G189" s="127" t="s">
        <v>81</v>
      </c>
      <c r="H189" s="134">
        <v>50005000</v>
      </c>
      <c r="I189" s="192" t="s">
        <v>52</v>
      </c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130</v>
      </c>
      <c r="C190" s="124" t="s">
        <v>505</v>
      </c>
      <c r="D190" s="124" t="s">
        <v>507</v>
      </c>
      <c r="E190" s="124" t="s">
        <v>79</v>
      </c>
      <c r="F190" s="146" t="s">
        <v>37</v>
      </c>
      <c r="G190" s="127" t="s">
        <v>81</v>
      </c>
      <c r="H190" s="134">
        <v>50005000</v>
      </c>
      <c r="I190" s="192" t="s">
        <v>52</v>
      </c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130</v>
      </c>
      <c r="C191" s="124" t="s">
        <v>508</v>
      </c>
      <c r="D191" s="124" t="s">
        <v>509</v>
      </c>
      <c r="E191" s="124" t="s">
        <v>79</v>
      </c>
      <c r="F191" s="146" t="s">
        <v>37</v>
      </c>
      <c r="G191" s="127" t="s">
        <v>81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130</v>
      </c>
      <c r="C192" s="124" t="s">
        <v>510</v>
      </c>
      <c r="D192" s="124" t="s">
        <v>511</v>
      </c>
      <c r="E192" s="124" t="s">
        <v>79</v>
      </c>
      <c r="F192" s="146" t="s">
        <v>37</v>
      </c>
      <c r="G192" s="127" t="s">
        <v>81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91</v>
      </c>
      <c r="C193" s="124" t="s">
        <v>512</v>
      </c>
      <c r="D193" s="124" t="s">
        <v>513</v>
      </c>
      <c r="E193" s="124" t="s">
        <v>79</v>
      </c>
      <c r="F193" s="146" t="s">
        <v>37</v>
      </c>
      <c r="G193" s="127" t="s">
        <v>81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91</v>
      </c>
      <c r="C194" s="124" t="s">
        <v>514</v>
      </c>
      <c r="D194" s="124" t="s">
        <v>515</v>
      </c>
      <c r="E194" s="124" t="s">
        <v>79</v>
      </c>
      <c r="F194" s="146" t="s">
        <v>516</v>
      </c>
      <c r="G194" s="127" t="s">
        <v>81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91</v>
      </c>
      <c r="C195" s="124" t="s">
        <v>517</v>
      </c>
      <c r="D195" s="124" t="s">
        <v>518</v>
      </c>
      <c r="E195" s="124" t="s">
        <v>79</v>
      </c>
      <c r="F195" s="146" t="s">
        <v>39</v>
      </c>
      <c r="G195" s="127" t="s">
        <v>81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472</v>
      </c>
      <c r="C196" s="124" t="s">
        <v>519</v>
      </c>
      <c r="D196" s="124" t="s">
        <v>520</v>
      </c>
      <c r="E196" s="124" t="s">
        <v>79</v>
      </c>
      <c r="F196" s="146" t="s">
        <v>39</v>
      </c>
      <c r="G196" s="127" t="s">
        <v>81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130</v>
      </c>
      <c r="C197" s="124" t="s">
        <v>521</v>
      </c>
      <c r="D197" s="124" t="s">
        <v>522</v>
      </c>
      <c r="E197" s="124" t="s">
        <v>79</v>
      </c>
      <c r="F197" s="146" t="s">
        <v>39</v>
      </c>
      <c r="G197" s="127" t="s">
        <v>81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472</v>
      </c>
      <c r="C198" s="124" t="s">
        <v>523</v>
      </c>
      <c r="D198" s="124" t="s">
        <v>524</v>
      </c>
      <c r="E198" s="124" t="s">
        <v>79</v>
      </c>
      <c r="F198" s="146" t="s">
        <v>39</v>
      </c>
      <c r="G198" s="127" t="s">
        <v>81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525</v>
      </c>
      <c r="C199" s="124" t="s">
        <v>526</v>
      </c>
      <c r="D199" s="124" t="s">
        <v>527</v>
      </c>
      <c r="E199" s="124" t="s">
        <v>79</v>
      </c>
      <c r="F199" s="146" t="s">
        <v>39</v>
      </c>
      <c r="G199" s="127" t="s">
        <v>81</v>
      </c>
      <c r="H199" s="134">
        <v>4502000</v>
      </c>
      <c r="I199" s="192" t="s">
        <v>52</v>
      </c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130</v>
      </c>
      <c r="C200" s="124" t="s">
        <v>528</v>
      </c>
      <c r="D200" s="124" t="s">
        <v>529</v>
      </c>
      <c r="E200" s="124" t="s">
        <v>79</v>
      </c>
      <c r="F200" s="146" t="s">
        <v>530</v>
      </c>
      <c r="G200" s="127" t="s">
        <v>81</v>
      </c>
      <c r="H200" s="134">
        <v>45000</v>
      </c>
      <c r="I200" s="192" t="s">
        <v>52</v>
      </c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91</v>
      </c>
      <c r="C201" s="124" t="s">
        <v>531</v>
      </c>
      <c r="D201" s="124" t="s">
        <v>532</v>
      </c>
      <c r="E201" s="124" t="s">
        <v>79</v>
      </c>
      <c r="F201" s="146" t="s">
        <v>530</v>
      </c>
      <c r="G201" s="127" t="s">
        <v>81</v>
      </c>
      <c r="H201" s="134">
        <v>1203000</v>
      </c>
      <c r="I201" s="192" t="s">
        <v>52</v>
      </c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356</v>
      </c>
      <c r="C202" s="124" t="s">
        <v>533</v>
      </c>
      <c r="D202" s="124" t="s">
        <v>534</v>
      </c>
      <c r="E202" s="124" t="s">
        <v>79</v>
      </c>
      <c r="F202" s="146" t="s">
        <v>346</v>
      </c>
      <c r="G202" s="127" t="s">
        <v>81</v>
      </c>
      <c r="H202" s="134">
        <v>655000</v>
      </c>
      <c r="I202" s="135" t="s">
        <v>135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361</v>
      </c>
      <c r="C203" s="124" t="s">
        <v>535</v>
      </c>
      <c r="D203" s="124" t="s">
        <v>536</v>
      </c>
      <c r="E203" s="124" t="s">
        <v>79</v>
      </c>
      <c r="F203" s="146" t="s">
        <v>537</v>
      </c>
      <c r="G203" s="127" t="s">
        <v>81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361</v>
      </c>
      <c r="C204" s="124" t="s">
        <v>538</v>
      </c>
      <c r="D204" s="124" t="s">
        <v>539</v>
      </c>
      <c r="E204" s="124" t="s">
        <v>79</v>
      </c>
      <c r="F204" s="146" t="s">
        <v>537</v>
      </c>
      <c r="G204" s="127" t="s">
        <v>81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361</v>
      </c>
      <c r="C205" s="124" t="s">
        <v>540</v>
      </c>
      <c r="D205" s="124" t="s">
        <v>541</v>
      </c>
      <c r="E205" s="124" t="s">
        <v>79</v>
      </c>
      <c r="F205" s="146" t="s">
        <v>255</v>
      </c>
      <c r="G205" s="127" t="s">
        <v>81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525</v>
      </c>
      <c r="C206" s="124" t="s">
        <v>542</v>
      </c>
      <c r="D206" s="124" t="s">
        <v>543</v>
      </c>
      <c r="E206" s="124" t="s">
        <v>148</v>
      </c>
      <c r="F206" s="146" t="s">
        <v>544</v>
      </c>
      <c r="G206" s="127" t="s">
        <v>81</v>
      </c>
      <c r="H206" s="134">
        <v>250000000</v>
      </c>
      <c r="I206" s="135"/>
      <c r="J206" s="124" t="s">
        <v>545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276</v>
      </c>
      <c r="C207" s="124" t="s">
        <v>546</v>
      </c>
      <c r="D207" s="124" t="s">
        <v>547</v>
      </c>
      <c r="E207" s="124" t="s">
        <v>79</v>
      </c>
      <c r="F207" s="146" t="s">
        <v>537</v>
      </c>
      <c r="G207" s="127" t="s">
        <v>81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318</v>
      </c>
      <c r="C208" s="124" t="s">
        <v>548</v>
      </c>
      <c r="D208" s="124" t="s">
        <v>549</v>
      </c>
      <c r="E208" s="124" t="s">
        <v>550</v>
      </c>
      <c r="F208" s="146" t="s">
        <v>73</v>
      </c>
      <c r="G208" s="127" t="s">
        <v>81</v>
      </c>
      <c r="H208" s="134">
        <v>250000000</v>
      </c>
      <c r="I208" s="135"/>
      <c r="J208" s="124" t="s">
        <v>551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318</v>
      </c>
      <c r="C209" s="124" t="s">
        <v>552</v>
      </c>
      <c r="D209" s="124" t="s">
        <v>553</v>
      </c>
      <c r="E209" s="124" t="s">
        <v>550</v>
      </c>
      <c r="F209" s="146" t="s">
        <v>554</v>
      </c>
      <c r="G209" s="127" t="s">
        <v>81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248</v>
      </c>
      <c r="C210" s="124" t="s">
        <v>555</v>
      </c>
      <c r="D210" s="124" t="s">
        <v>556</v>
      </c>
      <c r="E210" s="124" t="s">
        <v>488</v>
      </c>
      <c r="F210" s="146" t="s">
        <v>557</v>
      </c>
      <c r="G210" s="127" t="s">
        <v>81</v>
      </c>
      <c r="H210" s="134">
        <v>0</v>
      </c>
      <c r="I210" s="135"/>
      <c r="J210" s="124" t="s">
        <v>558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91</v>
      </c>
      <c r="C211" s="124" t="s">
        <v>559</v>
      </c>
      <c r="D211" s="124" t="s">
        <v>560</v>
      </c>
      <c r="E211" s="124" t="s">
        <v>79</v>
      </c>
      <c r="F211" s="146" t="s">
        <v>42</v>
      </c>
      <c r="G211" s="127" t="s">
        <v>81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91</v>
      </c>
      <c r="C212" s="124" t="s">
        <v>561</v>
      </c>
      <c r="D212" s="124" t="s">
        <v>562</v>
      </c>
      <c r="E212" s="124" t="s">
        <v>79</v>
      </c>
      <c r="F212" s="146" t="s">
        <v>42</v>
      </c>
      <c r="G212" s="127" t="s">
        <v>81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130</v>
      </c>
      <c r="C213" s="124" t="s">
        <v>563</v>
      </c>
      <c r="D213" s="124" t="s">
        <v>564</v>
      </c>
      <c r="E213" s="124" t="s">
        <v>79</v>
      </c>
      <c r="F213" s="146" t="s">
        <v>565</v>
      </c>
      <c r="G213" s="127" t="s">
        <v>81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361</v>
      </c>
      <c r="C214" s="124" t="s">
        <v>540</v>
      </c>
      <c r="D214" s="124" t="s">
        <v>566</v>
      </c>
      <c r="E214" s="124" t="s">
        <v>79</v>
      </c>
      <c r="F214" s="146" t="s">
        <v>567</v>
      </c>
      <c r="G214" s="127" t="s">
        <v>81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361</v>
      </c>
      <c r="C215" s="124" t="s">
        <v>217</v>
      </c>
      <c r="D215" s="124" t="s">
        <v>568</v>
      </c>
      <c r="E215" s="124" t="s">
        <v>79</v>
      </c>
      <c r="F215" s="146" t="s">
        <v>569</v>
      </c>
      <c r="G215" s="127" t="s">
        <v>81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234</v>
      </c>
      <c r="C216" s="124" t="s">
        <v>570</v>
      </c>
      <c r="D216" s="124" t="s">
        <v>571</v>
      </c>
      <c r="E216" s="124" t="s">
        <v>79</v>
      </c>
      <c r="F216" s="146" t="s">
        <v>569</v>
      </c>
      <c r="G216" s="127" t="s">
        <v>81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318</v>
      </c>
      <c r="C217" s="124" t="s">
        <v>400</v>
      </c>
      <c r="D217" s="124" t="s">
        <v>572</v>
      </c>
      <c r="E217" s="124" t="s">
        <v>79</v>
      </c>
      <c r="F217" s="146" t="s">
        <v>569</v>
      </c>
      <c r="G217" s="127" t="s">
        <v>81</v>
      </c>
      <c r="H217" s="134">
        <v>303000</v>
      </c>
      <c r="I217" s="135"/>
      <c r="J217" s="124" t="s">
        <v>573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130</v>
      </c>
      <c r="C218" s="124" t="s">
        <v>492</v>
      </c>
      <c r="D218" s="124" t="s">
        <v>574</v>
      </c>
      <c r="E218" s="124" t="s">
        <v>79</v>
      </c>
      <c r="F218" s="146" t="s">
        <v>46</v>
      </c>
      <c r="G218" s="127" t="s">
        <v>81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130</v>
      </c>
      <c r="C219" s="124" t="s">
        <v>492</v>
      </c>
      <c r="D219" s="124" t="s">
        <v>575</v>
      </c>
      <c r="E219" s="124" t="s">
        <v>79</v>
      </c>
      <c r="F219" s="146" t="s">
        <v>46</v>
      </c>
      <c r="G219" s="127" t="s">
        <v>81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234</v>
      </c>
      <c r="C220" s="124" t="s">
        <v>576</v>
      </c>
      <c r="D220" s="124" t="s">
        <v>577</v>
      </c>
      <c r="E220" s="124" t="s">
        <v>79</v>
      </c>
      <c r="F220" s="146" t="s">
        <v>578</v>
      </c>
      <c r="G220" s="127" t="s">
        <v>81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256</v>
      </c>
      <c r="C221" s="124" t="s">
        <v>579</v>
      </c>
      <c r="D221" s="124" t="s">
        <v>580</v>
      </c>
      <c r="E221" s="124" t="s">
        <v>79</v>
      </c>
      <c r="F221" s="146" t="s">
        <v>581</v>
      </c>
      <c r="G221" s="127" t="s">
        <v>81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256</v>
      </c>
      <c r="C222" s="124" t="s">
        <v>579</v>
      </c>
      <c r="D222" s="124" t="s">
        <v>582</v>
      </c>
      <c r="E222" s="124" t="s">
        <v>79</v>
      </c>
      <c r="F222" s="146" t="s">
        <v>581</v>
      </c>
      <c r="G222" s="127" t="s">
        <v>81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91</v>
      </c>
      <c r="C223" s="124" t="s">
        <v>583</v>
      </c>
      <c r="D223" s="124" t="s">
        <v>584</v>
      </c>
      <c r="E223" s="124" t="s">
        <v>79</v>
      </c>
      <c r="F223" s="146" t="s">
        <v>581</v>
      </c>
      <c r="G223" s="127" t="s">
        <v>81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256</v>
      </c>
      <c r="C224" s="124" t="s">
        <v>217</v>
      </c>
      <c r="D224" s="124" t="s">
        <v>585</v>
      </c>
      <c r="E224" s="124" t="s">
        <v>79</v>
      </c>
      <c r="F224" s="146" t="s">
        <v>581</v>
      </c>
      <c r="G224" s="193" t="s">
        <v>81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91</v>
      </c>
      <c r="C225" s="124" t="s">
        <v>586</v>
      </c>
      <c r="D225" s="124" t="s">
        <v>587</v>
      </c>
      <c r="E225" s="124" t="s">
        <v>79</v>
      </c>
      <c r="F225" s="146" t="s">
        <v>588</v>
      </c>
      <c r="G225" s="193" t="s">
        <v>81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91</v>
      </c>
      <c r="C226" s="124" t="s">
        <v>589</v>
      </c>
      <c r="D226" s="124" t="s">
        <v>590</v>
      </c>
      <c r="E226" s="124" t="s">
        <v>79</v>
      </c>
      <c r="F226" s="146" t="s">
        <v>591</v>
      </c>
      <c r="G226" s="193" t="s">
        <v>81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248</v>
      </c>
      <c r="C227" s="124" t="s">
        <v>592</v>
      </c>
      <c r="D227" s="124" t="s">
        <v>593</v>
      </c>
      <c r="E227" s="124" t="s">
        <v>148</v>
      </c>
      <c r="F227" s="146" t="s">
        <v>594</v>
      </c>
      <c r="G227" s="193" t="s">
        <v>81</v>
      </c>
      <c r="H227" s="134">
        <v>250000000</v>
      </c>
      <c r="I227" s="135"/>
      <c r="J227" s="124" t="s">
        <v>595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248</v>
      </c>
      <c r="C228" s="124" t="s">
        <v>592</v>
      </c>
      <c r="D228" s="124" t="s">
        <v>596</v>
      </c>
      <c r="E228" s="124" t="s">
        <v>79</v>
      </c>
      <c r="F228" s="146" t="s">
        <v>597</v>
      </c>
      <c r="G228" s="193" t="s">
        <v>81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472</v>
      </c>
      <c r="C229" s="124" t="s">
        <v>473</v>
      </c>
      <c r="D229" s="124" t="s">
        <v>598</v>
      </c>
      <c r="E229" s="124" t="s">
        <v>79</v>
      </c>
      <c r="F229" s="146" t="s">
        <v>597</v>
      </c>
      <c r="G229" s="193" t="s">
        <v>81</v>
      </c>
      <c r="H229" s="134">
        <v>100010000</v>
      </c>
      <c r="I229" s="135"/>
      <c r="J229" s="124" t="s">
        <v>599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472</v>
      </c>
      <c r="C230" s="124" t="s">
        <v>473</v>
      </c>
      <c r="D230" s="124" t="s">
        <v>600</v>
      </c>
      <c r="E230" s="124" t="s">
        <v>148</v>
      </c>
      <c r="F230" s="146" t="s">
        <v>597</v>
      </c>
      <c r="G230" s="193" t="s">
        <v>81</v>
      </c>
      <c r="H230" s="134">
        <v>73200000</v>
      </c>
      <c r="I230" s="135"/>
      <c r="J230" s="124" t="s">
        <v>601</v>
      </c>
      <c r="K230" s="134" t="s">
        <v>602</v>
      </c>
      <c r="L230" s="151" t="s">
        <v>603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472</v>
      </c>
      <c r="C231" s="124" t="s">
        <v>473</v>
      </c>
      <c r="D231" s="124" t="s">
        <v>604</v>
      </c>
      <c r="E231" s="124" t="s">
        <v>79</v>
      </c>
      <c r="F231" s="146" t="s">
        <v>597</v>
      </c>
      <c r="G231" s="193" t="s">
        <v>81</v>
      </c>
      <c r="H231" s="134">
        <v>9400000</v>
      </c>
      <c r="I231" s="135"/>
      <c r="J231" s="124" t="s">
        <v>605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91</v>
      </c>
      <c r="C232" s="124" t="s">
        <v>606</v>
      </c>
      <c r="D232" s="124" t="s">
        <v>607</v>
      </c>
      <c r="E232" s="124" t="s">
        <v>79</v>
      </c>
      <c r="F232" s="146" t="s">
        <v>597</v>
      </c>
      <c r="G232" s="193" t="s">
        <v>81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114</v>
      </c>
      <c r="C233" s="124" t="s">
        <v>608</v>
      </c>
      <c r="D233" s="124" t="s">
        <v>609</v>
      </c>
      <c r="E233" s="124" t="s">
        <v>79</v>
      </c>
      <c r="F233" s="146" t="s">
        <v>591</v>
      </c>
      <c r="G233" s="193" t="s">
        <v>81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91</v>
      </c>
      <c r="C234" s="124" t="s">
        <v>610</v>
      </c>
      <c r="D234" s="124" t="s">
        <v>611</v>
      </c>
      <c r="E234" s="124" t="s">
        <v>79</v>
      </c>
      <c r="F234" s="146" t="s">
        <v>53</v>
      </c>
      <c r="G234" s="193" t="s">
        <v>81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130</v>
      </c>
      <c r="C235" s="124" t="s">
        <v>612</v>
      </c>
      <c r="D235" s="124" t="s">
        <v>613</v>
      </c>
      <c r="E235" s="124" t="s">
        <v>79</v>
      </c>
      <c r="F235" s="146" t="s">
        <v>53</v>
      </c>
      <c r="G235" s="193" t="s">
        <v>81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525</v>
      </c>
      <c r="C236" s="124" t="s">
        <v>614</v>
      </c>
      <c r="D236" s="124" t="s">
        <v>615</v>
      </c>
      <c r="E236" s="124" t="s">
        <v>79</v>
      </c>
      <c r="F236" s="146" t="s">
        <v>616</v>
      </c>
      <c r="G236" s="193" t="s">
        <v>81</v>
      </c>
      <c r="H236" s="134">
        <v>0</v>
      </c>
      <c r="I236" s="135"/>
      <c r="J236" s="124" t="s">
        <v>617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130</v>
      </c>
      <c r="C237" s="124" t="s">
        <v>505</v>
      </c>
      <c r="D237" s="124" t="s">
        <v>618</v>
      </c>
      <c r="E237" s="124" t="s">
        <v>79</v>
      </c>
      <c r="F237" s="146" t="s">
        <v>619</v>
      </c>
      <c r="G237" s="193" t="s">
        <v>81</v>
      </c>
      <c r="H237" s="134">
        <v>25005000</v>
      </c>
      <c r="I237" s="135" t="s">
        <v>52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130</v>
      </c>
      <c r="C238" s="124" t="s">
        <v>505</v>
      </c>
      <c r="D238" s="124" t="s">
        <v>620</v>
      </c>
      <c r="E238" s="124" t="s">
        <v>79</v>
      </c>
      <c r="F238" s="146" t="s">
        <v>621</v>
      </c>
      <c r="G238" s="193" t="s">
        <v>81</v>
      </c>
      <c r="H238" s="134">
        <v>25005000</v>
      </c>
      <c r="I238" s="135" t="s">
        <v>52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91</v>
      </c>
      <c r="C239" s="124" t="s">
        <v>622</v>
      </c>
      <c r="D239" s="124" t="s">
        <v>623</v>
      </c>
      <c r="E239" s="124" t="s">
        <v>79</v>
      </c>
      <c r="F239" s="146" t="s">
        <v>619</v>
      </c>
      <c r="G239" s="193" t="s">
        <v>81</v>
      </c>
      <c r="H239" s="134">
        <v>6503000</v>
      </c>
      <c r="I239" s="135" t="s">
        <v>52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91</v>
      </c>
      <c r="C240" s="124" t="s">
        <v>624</v>
      </c>
      <c r="D240" s="124" t="s">
        <v>625</v>
      </c>
      <c r="E240" s="124" t="s">
        <v>79</v>
      </c>
      <c r="F240" s="146" t="s">
        <v>626</v>
      </c>
      <c r="G240" s="193" t="s">
        <v>627</v>
      </c>
      <c r="H240" s="134">
        <v>400000</v>
      </c>
      <c r="I240" s="135"/>
      <c r="J240" s="124" t="s">
        <v>628</v>
      </c>
      <c r="K240" s="134" t="s">
        <v>629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91</v>
      </c>
      <c r="C241" s="124" t="s">
        <v>503</v>
      </c>
      <c r="D241" s="124" t="s">
        <v>630</v>
      </c>
      <c r="E241" s="124" t="s">
        <v>79</v>
      </c>
      <c r="F241" s="146" t="s">
        <v>619</v>
      </c>
      <c r="G241" s="193" t="s">
        <v>81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361</v>
      </c>
      <c r="C242" s="124" t="s">
        <v>217</v>
      </c>
      <c r="D242" s="124" t="s">
        <v>631</v>
      </c>
      <c r="E242" s="124" t="s">
        <v>79</v>
      </c>
      <c r="F242" s="146" t="s">
        <v>632</v>
      </c>
      <c r="G242" s="193" t="s">
        <v>81</v>
      </c>
      <c r="H242" s="134">
        <v>1241045</v>
      </c>
      <c r="I242" s="135" t="s">
        <v>52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361</v>
      </c>
      <c r="C243" s="124" t="s">
        <v>540</v>
      </c>
      <c r="D243" s="124" t="s">
        <v>633</v>
      </c>
      <c r="E243" s="124" t="s">
        <v>79</v>
      </c>
      <c r="F243" s="146" t="s">
        <v>632</v>
      </c>
      <c r="G243" s="193" t="s">
        <v>627</v>
      </c>
      <c r="H243" s="134">
        <v>14000000</v>
      </c>
      <c r="I243" s="135"/>
      <c r="J243" s="124" t="s">
        <v>634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361</v>
      </c>
      <c r="C244" s="124" t="s">
        <v>635</v>
      </c>
      <c r="D244" s="124" t="s">
        <v>636</v>
      </c>
      <c r="E244" s="124" t="s">
        <v>79</v>
      </c>
      <c r="F244" s="146" t="s">
        <v>632</v>
      </c>
      <c r="G244" s="193" t="s">
        <v>81</v>
      </c>
      <c r="H244" s="134">
        <v>402000</v>
      </c>
      <c r="I244" s="135" t="s">
        <v>52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91</v>
      </c>
      <c r="C245" s="124" t="s">
        <v>503</v>
      </c>
      <c r="D245" s="124" t="s">
        <v>637</v>
      </c>
      <c r="E245" s="124" t="s">
        <v>79</v>
      </c>
      <c r="F245" s="146" t="s">
        <v>632</v>
      </c>
      <c r="G245" s="193" t="s">
        <v>81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76</v>
      </c>
      <c r="C246" s="124" t="s">
        <v>638</v>
      </c>
      <c r="D246" s="124" t="s">
        <v>639</v>
      </c>
      <c r="E246" s="124" t="s">
        <v>79</v>
      </c>
      <c r="F246" s="146" t="s">
        <v>632</v>
      </c>
      <c r="G246" s="193" t="s">
        <v>81</v>
      </c>
      <c r="H246" s="134">
        <v>80000000</v>
      </c>
      <c r="I246" s="135"/>
      <c r="J246" s="124" t="s">
        <v>640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318</v>
      </c>
      <c r="C247" s="124" t="s">
        <v>635</v>
      </c>
      <c r="D247" s="124" t="s">
        <v>641</v>
      </c>
      <c r="E247" s="124" t="s">
        <v>79</v>
      </c>
      <c r="F247" s="146" t="s">
        <v>642</v>
      </c>
      <c r="G247" s="193" t="s">
        <v>81</v>
      </c>
      <c r="H247" s="134">
        <v>152000</v>
      </c>
      <c r="I247" s="135" t="s">
        <v>52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318</v>
      </c>
      <c r="C248" s="124" t="s">
        <v>635</v>
      </c>
      <c r="D248" s="124" t="s">
        <v>643</v>
      </c>
      <c r="E248" s="124" t="s">
        <v>79</v>
      </c>
      <c r="F248" s="146" t="s">
        <v>642</v>
      </c>
      <c r="G248" s="193" t="s">
        <v>81</v>
      </c>
      <c r="H248" s="134">
        <v>152000</v>
      </c>
      <c r="I248" s="135" t="s">
        <v>52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130</v>
      </c>
      <c r="C249" s="124" t="s">
        <v>644</v>
      </c>
      <c r="D249" s="124" t="s">
        <v>645</v>
      </c>
      <c r="E249" s="124" t="s">
        <v>79</v>
      </c>
      <c r="F249" s="146" t="s">
        <v>646</v>
      </c>
      <c r="G249" s="193" t="s">
        <v>81</v>
      </c>
      <c r="H249" s="134">
        <v>30005000</v>
      </c>
      <c r="I249" s="135" t="s">
        <v>52</v>
      </c>
      <c r="J249" s="124" t="s">
        <v>647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130</v>
      </c>
      <c r="C250" s="124" t="s">
        <v>644</v>
      </c>
      <c r="D250" s="124" t="s">
        <v>648</v>
      </c>
      <c r="E250" s="124" t="s">
        <v>79</v>
      </c>
      <c r="F250" s="146" t="s">
        <v>646</v>
      </c>
      <c r="G250" s="193" t="s">
        <v>81</v>
      </c>
      <c r="H250" s="134">
        <v>30005000</v>
      </c>
      <c r="I250" s="135" t="s">
        <v>52</v>
      </c>
      <c r="J250" s="124" t="s">
        <v>649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91</v>
      </c>
      <c r="C251" s="124" t="s">
        <v>650</v>
      </c>
      <c r="D251" s="124" t="s">
        <v>651</v>
      </c>
      <c r="E251" s="124" t="s">
        <v>79</v>
      </c>
      <c r="F251" s="146" t="s">
        <v>652</v>
      </c>
      <c r="G251" s="193" t="s">
        <v>81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248</v>
      </c>
      <c r="C252" s="124" t="s">
        <v>653</v>
      </c>
      <c r="D252" s="124" t="s">
        <v>654</v>
      </c>
      <c r="E252" s="124" t="s">
        <v>148</v>
      </c>
      <c r="F252" s="146" t="s">
        <v>655</v>
      </c>
      <c r="G252" s="193" t="s">
        <v>81</v>
      </c>
      <c r="H252" s="134">
        <v>720000000</v>
      </c>
      <c r="I252" s="135"/>
      <c r="J252" s="124" t="s">
        <v>656</v>
      </c>
      <c r="K252" s="134" t="s">
        <v>657</v>
      </c>
      <c r="L252" s="151" t="s">
        <v>658</v>
      </c>
      <c r="M252" s="157" t="s">
        <v>659</v>
      </c>
      <c r="N252" s="169" t="s">
        <v>660</v>
      </c>
      <c r="O252" s="124" t="s">
        <v>661</v>
      </c>
      <c r="P252" s="124" t="s">
        <v>662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361</v>
      </c>
      <c r="C253" s="124" t="s">
        <v>217</v>
      </c>
      <c r="D253" s="124" t="s">
        <v>663</v>
      </c>
      <c r="E253" s="124" t="s">
        <v>79</v>
      </c>
      <c r="F253" s="146" t="s">
        <v>664</v>
      </c>
      <c r="G253" s="193" t="s">
        <v>81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361</v>
      </c>
      <c r="C254" s="124" t="s">
        <v>540</v>
      </c>
      <c r="D254" s="124" t="s">
        <v>665</v>
      </c>
      <c r="E254" s="124" t="s">
        <v>79</v>
      </c>
      <c r="F254" s="146" t="s">
        <v>664</v>
      </c>
      <c r="G254" s="193" t="s">
        <v>81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666</v>
      </c>
      <c r="C255" s="124" t="s">
        <v>667</v>
      </c>
      <c r="D255" s="124" t="s">
        <v>668</v>
      </c>
      <c r="E255" s="124" t="s">
        <v>148</v>
      </c>
      <c r="F255" s="146" t="s">
        <v>669</v>
      </c>
      <c r="G255" s="193" t="s">
        <v>81</v>
      </c>
      <c r="H255" s="134">
        <v>45000000</v>
      </c>
      <c r="I255" s="135"/>
      <c r="J255" s="124" t="s">
        <v>670</v>
      </c>
      <c r="K255" s="134" t="s">
        <v>671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4">
        <v>251</v>
      </c>
      <c r="B256" s="124" t="s">
        <v>130</v>
      </c>
      <c r="C256" s="124" t="s">
        <v>672</v>
      </c>
      <c r="D256" s="124" t="s">
        <v>673</v>
      </c>
      <c r="E256" s="124" t="s">
        <v>79</v>
      </c>
      <c r="F256" s="146" t="s">
        <v>674</v>
      </c>
      <c r="G256" s="193" t="s">
        <v>81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525</v>
      </c>
      <c r="C257" s="124" t="s">
        <v>675</v>
      </c>
      <c r="D257" s="124" t="s">
        <v>676</v>
      </c>
      <c r="E257" s="124" t="s">
        <v>148</v>
      </c>
      <c r="F257" s="146" t="s">
        <v>677</v>
      </c>
      <c r="G257" s="193" t="s">
        <v>81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318</v>
      </c>
      <c r="C258" s="124" t="s">
        <v>678</v>
      </c>
      <c r="D258" s="124" t="s">
        <v>679</v>
      </c>
      <c r="E258" s="124" t="s">
        <v>550</v>
      </c>
      <c r="F258" s="146" t="s">
        <v>680</v>
      </c>
      <c r="G258" s="193" t="s">
        <v>81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525</v>
      </c>
      <c r="C259" s="124" t="s">
        <v>681</v>
      </c>
      <c r="D259" s="124" t="s">
        <v>682</v>
      </c>
      <c r="E259" s="124" t="s">
        <v>79</v>
      </c>
      <c r="F259" s="146" t="s">
        <v>683</v>
      </c>
      <c r="G259" s="193" t="s">
        <v>81</v>
      </c>
      <c r="H259" s="134">
        <v>12005000</v>
      </c>
      <c r="I259" s="135"/>
      <c r="J259" s="124" t="s">
        <v>684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361</v>
      </c>
      <c r="C260" s="124" t="s">
        <v>685</v>
      </c>
      <c r="D260" s="124" t="s">
        <v>686</v>
      </c>
      <c r="E260" s="124" t="s">
        <v>79</v>
      </c>
      <c r="F260" s="146" t="s">
        <v>687</v>
      </c>
      <c r="G260" s="193" t="s">
        <v>81</v>
      </c>
      <c r="H260" s="134">
        <v>15001500</v>
      </c>
      <c r="I260" s="135"/>
      <c r="J260" s="124" t="s">
        <v>688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91</v>
      </c>
      <c r="C261" s="124" t="s">
        <v>689</v>
      </c>
      <c r="D261" s="124" t="s">
        <v>690</v>
      </c>
      <c r="E261" s="124" t="s">
        <v>79</v>
      </c>
      <c r="F261" s="146" t="s">
        <v>691</v>
      </c>
      <c r="G261" s="193" t="s">
        <v>81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318</v>
      </c>
      <c r="C262" s="124" t="s">
        <v>692</v>
      </c>
      <c r="D262" s="124" t="s">
        <v>693</v>
      </c>
      <c r="E262" s="124" t="s">
        <v>79</v>
      </c>
      <c r="F262" s="146" t="s">
        <v>694</v>
      </c>
      <c r="G262" s="193" t="s">
        <v>627</v>
      </c>
      <c r="H262" s="134">
        <v>1500000</v>
      </c>
      <c r="I262" s="135"/>
      <c r="J262" s="124" t="s">
        <v>695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318</v>
      </c>
      <c r="C263" s="124" t="s">
        <v>400</v>
      </c>
      <c r="D263" s="124" t="s">
        <v>696</v>
      </c>
      <c r="E263" s="124" t="s">
        <v>79</v>
      </c>
      <c r="F263" s="146" t="s">
        <v>694</v>
      </c>
      <c r="G263" s="193" t="s">
        <v>627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318</v>
      </c>
      <c r="C264" s="124" t="s">
        <v>400</v>
      </c>
      <c r="D264" s="124" t="s">
        <v>697</v>
      </c>
      <c r="E264" s="124" t="s">
        <v>79</v>
      </c>
      <c r="F264" s="146" t="s">
        <v>694</v>
      </c>
      <c r="G264" s="193" t="s">
        <v>627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318</v>
      </c>
      <c r="C265" s="124" t="s">
        <v>400</v>
      </c>
      <c r="D265" s="124" t="s">
        <v>698</v>
      </c>
      <c r="E265" s="124" t="s">
        <v>79</v>
      </c>
      <c r="F265" s="146" t="s">
        <v>694</v>
      </c>
      <c r="G265" s="193" t="s">
        <v>627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335</v>
      </c>
      <c r="C266" s="124" t="s">
        <v>699</v>
      </c>
      <c r="D266" s="195" t="s">
        <v>700</v>
      </c>
      <c r="E266" s="124" t="s">
        <v>79</v>
      </c>
      <c r="F266" s="146" t="s">
        <v>626</v>
      </c>
      <c r="G266" s="193" t="s">
        <v>627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701</v>
      </c>
      <c r="B267" s="124" t="s">
        <v>361</v>
      </c>
      <c r="C267" s="124" t="s">
        <v>702</v>
      </c>
      <c r="D267" s="195" t="s">
        <v>703</v>
      </c>
      <c r="E267" s="124" t="s">
        <v>79</v>
      </c>
      <c r="F267" s="146" t="s">
        <v>691</v>
      </c>
      <c r="G267" s="193" t="s">
        <v>704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705</v>
      </c>
      <c r="B268" s="124" t="s">
        <v>361</v>
      </c>
      <c r="C268" s="124" t="s">
        <v>702</v>
      </c>
      <c r="D268" s="195" t="s">
        <v>706</v>
      </c>
      <c r="E268" s="124" t="s">
        <v>79</v>
      </c>
      <c r="F268" s="146" t="s">
        <v>691</v>
      </c>
      <c r="G268" s="193" t="s">
        <v>627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91</v>
      </c>
      <c r="C269" s="124" t="s">
        <v>707</v>
      </c>
      <c r="D269" s="124" t="s">
        <v>708</v>
      </c>
      <c r="E269" s="124" t="s">
        <v>79</v>
      </c>
      <c r="F269" s="146" t="s">
        <v>691</v>
      </c>
      <c r="G269" s="193" t="s">
        <v>627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248</v>
      </c>
      <c r="C270" s="124" t="s">
        <v>709</v>
      </c>
      <c r="D270" s="124" t="s">
        <v>710</v>
      </c>
      <c r="E270" s="124" t="s">
        <v>148</v>
      </c>
      <c r="F270" s="146" t="s">
        <v>711</v>
      </c>
      <c r="G270" s="193" t="s">
        <v>81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472</v>
      </c>
      <c r="C271" s="124" t="s">
        <v>712</v>
      </c>
      <c r="D271" s="124" t="s">
        <v>713</v>
      </c>
      <c r="E271" s="124" t="s">
        <v>148</v>
      </c>
      <c r="F271" s="146" t="s">
        <v>714</v>
      </c>
      <c r="G271" s="193" t="s">
        <v>81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472</v>
      </c>
      <c r="C272" s="124" t="s">
        <v>715</v>
      </c>
      <c r="D272" s="124" t="s">
        <v>716</v>
      </c>
      <c r="E272" s="124" t="s">
        <v>79</v>
      </c>
      <c r="F272" s="146" t="s">
        <v>717</v>
      </c>
      <c r="G272" s="193" t="s">
        <v>627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91</v>
      </c>
      <c r="C273" s="124" t="s">
        <v>718</v>
      </c>
      <c r="D273" s="124" t="s">
        <v>719</v>
      </c>
      <c r="E273" s="124" t="s">
        <v>79</v>
      </c>
      <c r="F273" s="146" t="s">
        <v>720</v>
      </c>
      <c r="G273" s="193" t="s">
        <v>627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91</v>
      </c>
      <c r="C274" s="124" t="s">
        <v>721</v>
      </c>
      <c r="D274" s="124" t="s">
        <v>722</v>
      </c>
      <c r="E274" s="124" t="s">
        <v>79</v>
      </c>
      <c r="F274" s="146" t="s">
        <v>720</v>
      </c>
      <c r="G274" s="193" t="s">
        <v>627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234</v>
      </c>
      <c r="C275" s="124" t="s">
        <v>723</v>
      </c>
      <c r="D275" s="124" t="s">
        <v>724</v>
      </c>
      <c r="E275" s="124" t="s">
        <v>79</v>
      </c>
      <c r="F275" s="146" t="s">
        <v>720</v>
      </c>
      <c r="G275" s="193" t="s">
        <v>627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234</v>
      </c>
      <c r="C276" s="124" t="s">
        <v>723</v>
      </c>
      <c r="D276" s="124" t="s">
        <v>724</v>
      </c>
      <c r="E276" s="124" t="s">
        <v>79</v>
      </c>
      <c r="F276" s="146" t="s">
        <v>720</v>
      </c>
      <c r="G276" s="193" t="s">
        <v>627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248</v>
      </c>
      <c r="C277" s="124" t="s">
        <v>725</v>
      </c>
      <c r="D277" s="124" t="s">
        <v>726</v>
      </c>
      <c r="E277" s="124" t="s">
        <v>79</v>
      </c>
      <c r="F277" s="146" t="s">
        <v>720</v>
      </c>
      <c r="G277" s="193" t="s">
        <v>627</v>
      </c>
      <c r="H277" s="134">
        <v>200020000</v>
      </c>
      <c r="I277" s="135"/>
      <c r="J277" s="124" t="s">
        <v>727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248</v>
      </c>
      <c r="C278" s="124" t="s">
        <v>725</v>
      </c>
      <c r="D278" s="124" t="s">
        <v>728</v>
      </c>
      <c r="E278" s="124" t="s">
        <v>79</v>
      </c>
      <c r="F278" s="146" t="s">
        <v>720</v>
      </c>
      <c r="G278" s="193" t="s">
        <v>627</v>
      </c>
      <c r="H278" s="134">
        <v>100010000</v>
      </c>
      <c r="I278" s="135"/>
      <c r="J278" s="124" t="s">
        <v>727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248</v>
      </c>
      <c r="C279" s="124" t="s">
        <v>729</v>
      </c>
      <c r="D279" s="124" t="s">
        <v>730</v>
      </c>
      <c r="E279" s="124" t="s">
        <v>79</v>
      </c>
      <c r="F279" s="146" t="s">
        <v>720</v>
      </c>
      <c r="G279" s="193" t="s">
        <v>81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91</v>
      </c>
      <c r="C280" s="124" t="s">
        <v>731</v>
      </c>
      <c r="D280" s="124" t="s">
        <v>732</v>
      </c>
      <c r="E280" s="124" t="s">
        <v>148</v>
      </c>
      <c r="F280" s="146" t="s">
        <v>733</v>
      </c>
      <c r="G280" s="193" t="s">
        <v>81</v>
      </c>
      <c r="H280" s="134">
        <v>65500000</v>
      </c>
      <c r="I280" s="135"/>
      <c r="J280" s="124" t="s">
        <v>734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114</v>
      </c>
      <c r="C281" s="124" t="s">
        <v>735</v>
      </c>
      <c r="D281" s="124" t="s">
        <v>736</v>
      </c>
      <c r="E281" s="124" t="s">
        <v>79</v>
      </c>
      <c r="F281" s="146" t="s">
        <v>737</v>
      </c>
      <c r="G281" s="193" t="s">
        <v>81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91</v>
      </c>
      <c r="C282" s="124" t="s">
        <v>738</v>
      </c>
      <c r="D282" s="124" t="s">
        <v>739</v>
      </c>
      <c r="E282" s="124" t="s">
        <v>79</v>
      </c>
      <c r="F282" s="146" t="s">
        <v>687</v>
      </c>
      <c r="G282" s="193" t="s">
        <v>81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177</v>
      </c>
      <c r="C283" s="124" t="s">
        <v>740</v>
      </c>
      <c r="D283" s="124" t="s">
        <v>741</v>
      </c>
      <c r="E283" s="124" t="s">
        <v>79</v>
      </c>
      <c r="F283" s="146" t="s">
        <v>687</v>
      </c>
      <c r="G283" s="193" t="s">
        <v>81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234</v>
      </c>
      <c r="C284" s="124" t="s">
        <v>742</v>
      </c>
      <c r="D284" s="124" t="s">
        <v>743</v>
      </c>
      <c r="E284" s="124" t="s">
        <v>79</v>
      </c>
      <c r="F284" s="146" t="s">
        <v>687</v>
      </c>
      <c r="G284" s="193" t="s">
        <v>81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525</v>
      </c>
      <c r="C285" s="124" t="s">
        <v>744</v>
      </c>
      <c r="D285" s="124" t="s">
        <v>745</v>
      </c>
      <c r="E285" s="124" t="s">
        <v>79</v>
      </c>
      <c r="F285" s="146" t="s">
        <v>687</v>
      </c>
      <c r="G285" s="193" t="s">
        <v>81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356</v>
      </c>
      <c r="C286" s="124" t="s">
        <v>746</v>
      </c>
      <c r="D286" s="124" t="s">
        <v>747</v>
      </c>
      <c r="E286" s="124" t="s">
        <v>79</v>
      </c>
      <c r="F286" s="146" t="s">
        <v>748</v>
      </c>
      <c r="G286" s="193" t="s">
        <v>81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91</v>
      </c>
      <c r="C287" s="124" t="s">
        <v>749</v>
      </c>
      <c r="D287" s="124" t="s">
        <v>750</v>
      </c>
      <c r="E287" s="124" t="s">
        <v>79</v>
      </c>
      <c r="F287" s="146" t="s">
        <v>687</v>
      </c>
      <c r="G287" s="193" t="s">
        <v>81</v>
      </c>
      <c r="H287" s="134">
        <v>400500</v>
      </c>
      <c r="I287" s="135"/>
      <c r="J287" s="124" t="s">
        <v>751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130</v>
      </c>
      <c r="C288" s="124" t="s">
        <v>752</v>
      </c>
      <c r="D288" s="124" t="s">
        <v>753</v>
      </c>
      <c r="E288" s="124" t="s">
        <v>79</v>
      </c>
      <c r="F288" s="146" t="s">
        <v>687</v>
      </c>
      <c r="G288" s="193" t="s">
        <v>81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361</v>
      </c>
      <c r="C289" s="124" t="s">
        <v>702</v>
      </c>
      <c r="D289" s="124" t="s">
        <v>754</v>
      </c>
      <c r="E289" s="124" t="s">
        <v>79</v>
      </c>
      <c r="F289" s="146" t="s">
        <v>755</v>
      </c>
      <c r="G289" s="193" t="s">
        <v>81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361</v>
      </c>
      <c r="C290" s="124" t="s">
        <v>702</v>
      </c>
      <c r="D290" s="124" t="s">
        <v>756</v>
      </c>
      <c r="E290" s="124" t="s">
        <v>79</v>
      </c>
      <c r="F290" s="146" t="s">
        <v>755</v>
      </c>
      <c r="G290" s="193" t="s">
        <v>704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6">
        <v>284</v>
      </c>
      <c r="B291" s="195" t="s">
        <v>361</v>
      </c>
      <c r="C291" s="195" t="s">
        <v>757</v>
      </c>
      <c r="D291" s="195" t="s">
        <v>758</v>
      </c>
      <c r="E291" s="195" t="s">
        <v>79</v>
      </c>
      <c r="F291" s="197" t="s">
        <v>759</v>
      </c>
      <c r="G291" s="198" t="s">
        <v>81</v>
      </c>
      <c r="H291" s="199">
        <v>15001500</v>
      </c>
      <c r="I291" s="200"/>
      <c r="J291" s="196" t="s">
        <v>760</v>
      </c>
      <c r="K291" s="199"/>
      <c r="L291" s="201"/>
      <c r="M291" s="202"/>
      <c r="N291" s="203"/>
      <c r="O291" s="196"/>
      <c r="P291" s="196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6">
        <v>285</v>
      </c>
      <c r="B292" s="195" t="s">
        <v>666</v>
      </c>
      <c r="C292" s="195" t="s">
        <v>761</v>
      </c>
      <c r="D292" s="195" t="s">
        <v>762</v>
      </c>
      <c r="E292" s="195" t="s">
        <v>79</v>
      </c>
      <c r="F292" s="197" t="s">
        <v>763</v>
      </c>
      <c r="G292" s="198" t="s">
        <v>81</v>
      </c>
      <c r="H292" s="199">
        <v>130000000</v>
      </c>
      <c r="I292" s="200"/>
      <c r="J292" s="196" t="s">
        <v>764</v>
      </c>
      <c r="K292" s="199" t="s">
        <v>765</v>
      </c>
      <c r="L292" s="201" t="s">
        <v>766</v>
      </c>
      <c r="M292" s="202" t="s">
        <v>767</v>
      </c>
      <c r="N292" s="203"/>
      <c r="O292" s="196"/>
      <c r="P292" s="196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6">
        <v>296</v>
      </c>
      <c r="B293" s="195" t="s">
        <v>91</v>
      </c>
      <c r="C293" s="195" t="s">
        <v>768</v>
      </c>
      <c r="D293" s="195" t="s">
        <v>769</v>
      </c>
      <c r="E293" s="195" t="s">
        <v>79</v>
      </c>
      <c r="F293" s="197" t="s">
        <v>770</v>
      </c>
      <c r="G293" s="198" t="s">
        <v>81</v>
      </c>
      <c r="H293" s="199">
        <v>5000500</v>
      </c>
      <c r="I293" s="200"/>
      <c r="J293" s="196"/>
      <c r="K293" s="199"/>
      <c r="L293" s="201"/>
      <c r="M293" s="202"/>
      <c r="N293" s="203"/>
      <c r="O293" s="196"/>
      <c r="P293" s="196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6">
        <v>297</v>
      </c>
      <c r="B294" s="195" t="s">
        <v>130</v>
      </c>
      <c r="C294" s="195" t="s">
        <v>771</v>
      </c>
      <c r="D294" s="195" t="s">
        <v>772</v>
      </c>
      <c r="E294" s="195" t="s">
        <v>79</v>
      </c>
      <c r="F294" s="197" t="s">
        <v>770</v>
      </c>
      <c r="G294" s="198" t="s">
        <v>81</v>
      </c>
      <c r="H294" s="199">
        <v>2329950</v>
      </c>
      <c r="I294" s="200"/>
      <c r="J294" s="196"/>
      <c r="K294" s="199"/>
      <c r="L294" s="201"/>
      <c r="M294" s="202"/>
      <c r="N294" s="203"/>
      <c r="O294" s="196"/>
      <c r="P294" s="196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6">
        <v>298</v>
      </c>
      <c r="B295" s="195" t="s">
        <v>234</v>
      </c>
      <c r="C295" s="195" t="s">
        <v>773</v>
      </c>
      <c r="D295" s="195" t="s">
        <v>774</v>
      </c>
      <c r="E295" s="195" t="s">
        <v>79</v>
      </c>
      <c r="F295" s="197" t="s">
        <v>775</v>
      </c>
      <c r="G295" s="198" t="s">
        <v>81</v>
      </c>
      <c r="H295" s="199">
        <v>27502750</v>
      </c>
      <c r="I295" s="200"/>
      <c r="J295" s="196"/>
      <c r="K295" s="199"/>
      <c r="L295" s="201"/>
      <c r="M295" s="202"/>
      <c r="N295" s="203"/>
      <c r="O295" s="196"/>
      <c r="P295" s="196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6">
        <v>299</v>
      </c>
      <c r="B296" s="195" t="s">
        <v>91</v>
      </c>
      <c r="C296" s="195" t="s">
        <v>776</v>
      </c>
      <c r="D296" s="195" t="s">
        <v>777</v>
      </c>
      <c r="E296" s="195" t="s">
        <v>79</v>
      </c>
      <c r="F296" s="197" t="s">
        <v>687</v>
      </c>
      <c r="G296" s="198" t="s">
        <v>81</v>
      </c>
      <c r="H296" s="199">
        <f>18000*4</f>
        <v>72000</v>
      </c>
      <c r="I296" s="200"/>
      <c r="J296" s="196"/>
      <c r="K296" s="199"/>
      <c r="L296" s="201"/>
      <c r="M296" s="202"/>
      <c r="N296" s="203"/>
      <c r="O296" s="196"/>
      <c r="P296" s="196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6">
        <v>300</v>
      </c>
      <c r="B297" s="195" t="s">
        <v>427</v>
      </c>
      <c r="C297" s="195" t="s">
        <v>778</v>
      </c>
      <c r="D297" s="195" t="s">
        <v>779</v>
      </c>
      <c r="E297" s="195" t="s">
        <v>550</v>
      </c>
      <c r="F297" s="197" t="s">
        <v>780</v>
      </c>
      <c r="G297" s="198" t="s">
        <v>81</v>
      </c>
      <c r="H297" s="199">
        <v>136000000</v>
      </c>
      <c r="I297" s="200"/>
      <c r="J297" s="196"/>
      <c r="K297" s="199"/>
      <c r="L297" s="201"/>
      <c r="M297" s="202"/>
      <c r="N297" s="203"/>
      <c r="O297" s="196"/>
      <c r="P297" s="196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6">
        <v>301</v>
      </c>
      <c r="B298" s="195" t="s">
        <v>91</v>
      </c>
      <c r="C298" s="195" t="s">
        <v>781</v>
      </c>
      <c r="D298" s="195" t="s">
        <v>782</v>
      </c>
      <c r="E298" s="195" t="s">
        <v>79</v>
      </c>
      <c r="F298" s="197" t="s">
        <v>759</v>
      </c>
      <c r="G298" s="198" t="s">
        <v>81</v>
      </c>
      <c r="H298" s="199">
        <f>34500000/2</f>
        <v>17250000</v>
      </c>
      <c r="I298" s="200"/>
      <c r="J298" s="196" t="s">
        <v>783</v>
      </c>
      <c r="K298" s="199" t="s">
        <v>784</v>
      </c>
      <c r="L298" s="201"/>
      <c r="M298" s="202"/>
      <c r="N298" s="203"/>
      <c r="O298" s="196"/>
      <c r="P298" s="196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6">
        <v>302</v>
      </c>
      <c r="B299" s="195" t="s">
        <v>91</v>
      </c>
      <c r="C299" s="195" t="s">
        <v>785</v>
      </c>
      <c r="D299" s="195" t="s">
        <v>786</v>
      </c>
      <c r="E299" s="195" t="s">
        <v>79</v>
      </c>
      <c r="F299" s="197" t="s">
        <v>787</v>
      </c>
      <c r="G299" s="198" t="s">
        <v>81</v>
      </c>
      <c r="H299" s="199">
        <v>1600300</v>
      </c>
      <c r="I299" s="200"/>
      <c r="J299" s="196"/>
      <c r="K299" s="199"/>
      <c r="L299" s="201"/>
      <c r="M299" s="202"/>
      <c r="N299" s="203"/>
      <c r="O299" s="196"/>
      <c r="P299" s="196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6">
        <v>303</v>
      </c>
      <c r="B300" s="195" t="s">
        <v>130</v>
      </c>
      <c r="C300" s="195" t="s">
        <v>788</v>
      </c>
      <c r="D300" s="195" t="s">
        <v>789</v>
      </c>
      <c r="E300" s="195" t="s">
        <v>79</v>
      </c>
      <c r="F300" s="197" t="s">
        <v>787</v>
      </c>
      <c r="G300" s="198" t="s">
        <v>81</v>
      </c>
      <c r="H300" s="199">
        <v>170000</v>
      </c>
      <c r="I300" s="200"/>
      <c r="J300" s="196"/>
      <c r="K300" s="199"/>
      <c r="L300" s="201"/>
      <c r="M300" s="202"/>
      <c r="N300" s="203"/>
      <c r="O300" s="196"/>
      <c r="P300" s="196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6">
        <v>303</v>
      </c>
      <c r="B301" s="195" t="s">
        <v>130</v>
      </c>
      <c r="C301" s="195" t="s">
        <v>443</v>
      </c>
      <c r="D301" s="195" t="s">
        <v>790</v>
      </c>
      <c r="E301" s="195" t="s">
        <v>79</v>
      </c>
      <c r="F301" s="197" t="s">
        <v>791</v>
      </c>
      <c r="G301" s="198" t="s">
        <v>81</v>
      </c>
      <c r="H301" s="199">
        <v>40004000</v>
      </c>
      <c r="I301" s="200"/>
      <c r="J301" s="196" t="s">
        <v>792</v>
      </c>
      <c r="K301" s="199" t="s">
        <v>793</v>
      </c>
      <c r="L301" s="201"/>
      <c r="M301" s="202"/>
      <c r="N301" s="203"/>
      <c r="O301" s="196"/>
      <c r="P301" s="196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6">
        <v>303</v>
      </c>
      <c r="B302" s="195" t="s">
        <v>130</v>
      </c>
      <c r="C302" s="195" t="s">
        <v>443</v>
      </c>
      <c r="D302" s="195" t="s">
        <v>794</v>
      </c>
      <c r="E302" s="195" t="s">
        <v>79</v>
      </c>
      <c r="F302" s="197" t="s">
        <v>791</v>
      </c>
      <c r="G302" s="198" t="s">
        <v>81</v>
      </c>
      <c r="H302" s="199">
        <v>40004000</v>
      </c>
      <c r="I302" s="200"/>
      <c r="J302" s="196"/>
      <c r="K302" s="199"/>
      <c r="L302" s="201"/>
      <c r="M302" s="202"/>
      <c r="N302" s="203"/>
      <c r="O302" s="196"/>
      <c r="P302" s="196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6">
        <v>304</v>
      </c>
      <c r="B303" s="195" t="s">
        <v>114</v>
      </c>
      <c r="C303" s="195" t="s">
        <v>795</v>
      </c>
      <c r="D303" s="195" t="s">
        <v>796</v>
      </c>
      <c r="E303" s="195" t="s">
        <v>488</v>
      </c>
      <c r="F303" s="197" t="s">
        <v>797</v>
      </c>
      <c r="G303" s="198" t="s">
        <v>81</v>
      </c>
      <c r="H303" s="199">
        <v>110000000</v>
      </c>
      <c r="I303" s="200"/>
      <c r="J303" s="196" t="s">
        <v>798</v>
      </c>
      <c r="K303" s="199" t="s">
        <v>799</v>
      </c>
      <c r="L303" s="201"/>
      <c r="M303" s="202"/>
      <c r="N303" s="203"/>
      <c r="O303" s="196"/>
      <c r="P303" s="196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6">
        <v>305</v>
      </c>
      <c r="B304" s="195" t="s">
        <v>525</v>
      </c>
      <c r="C304" s="195" t="s">
        <v>800</v>
      </c>
      <c r="D304" s="195" t="s">
        <v>801</v>
      </c>
      <c r="E304" s="195" t="s">
        <v>79</v>
      </c>
      <c r="F304" s="197" t="s">
        <v>802</v>
      </c>
      <c r="G304" s="198" t="s">
        <v>81</v>
      </c>
      <c r="H304" s="199">
        <v>8000800</v>
      </c>
      <c r="I304" s="200"/>
      <c r="J304" s="196" t="s">
        <v>803</v>
      </c>
      <c r="K304" s="199"/>
      <c r="L304" s="201"/>
      <c r="M304" s="202"/>
      <c r="N304" s="203"/>
      <c r="O304" s="196"/>
      <c r="P304" s="196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6">
        <v>306</v>
      </c>
      <c r="B305" s="195" t="s">
        <v>91</v>
      </c>
      <c r="C305" s="195" t="s">
        <v>804</v>
      </c>
      <c r="D305" s="195" t="s">
        <v>805</v>
      </c>
      <c r="E305" s="195" t="s">
        <v>79</v>
      </c>
      <c r="F305" s="197" t="s">
        <v>791</v>
      </c>
      <c r="G305" s="198" t="s">
        <v>81</v>
      </c>
      <c r="H305" s="199">
        <v>0</v>
      </c>
      <c r="I305" s="200"/>
      <c r="J305" s="196" t="s">
        <v>806</v>
      </c>
      <c r="K305" s="199"/>
      <c r="L305" s="201"/>
      <c r="M305" s="202"/>
      <c r="N305" s="203"/>
      <c r="O305" s="196"/>
      <c r="P305" s="196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6">
        <v>307</v>
      </c>
      <c r="B306" s="195" t="s">
        <v>335</v>
      </c>
      <c r="C306" s="195" t="s">
        <v>336</v>
      </c>
      <c r="D306" s="195" t="s">
        <v>807</v>
      </c>
      <c r="E306" s="195" t="s">
        <v>79</v>
      </c>
      <c r="F306" s="197"/>
      <c r="G306" s="198" t="s">
        <v>81</v>
      </c>
      <c r="H306" s="199"/>
      <c r="I306" s="200"/>
      <c r="J306" s="196" t="s">
        <v>808</v>
      </c>
      <c r="K306" s="199"/>
      <c r="L306" s="201"/>
      <c r="M306" s="202"/>
      <c r="N306" s="203"/>
      <c r="O306" s="196"/>
      <c r="P306" s="196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6">
        <v>308</v>
      </c>
      <c r="B307" s="195" t="s">
        <v>114</v>
      </c>
      <c r="C307" s="195" t="s">
        <v>186</v>
      </c>
      <c r="D307" s="195" t="s">
        <v>809</v>
      </c>
      <c r="E307" s="195" t="s">
        <v>79</v>
      </c>
      <c r="F307" s="197" t="s">
        <v>810</v>
      </c>
      <c r="G307" s="198" t="s">
        <v>81</v>
      </c>
      <c r="H307" s="199">
        <v>20000</v>
      </c>
      <c r="I307" s="200"/>
      <c r="J307" s="196"/>
      <c r="K307" s="199"/>
      <c r="L307" s="201"/>
      <c r="M307" s="202"/>
      <c r="N307" s="203"/>
      <c r="O307" s="196"/>
      <c r="P307" s="196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6">
        <v>309</v>
      </c>
      <c r="B308" s="195" t="s">
        <v>427</v>
      </c>
      <c r="C308" s="195" t="s">
        <v>811</v>
      </c>
      <c r="D308" s="195" t="s">
        <v>812</v>
      </c>
      <c r="E308" s="195" t="s">
        <v>79</v>
      </c>
      <c r="F308" s="197" t="s">
        <v>810</v>
      </c>
      <c r="G308" s="198" t="s">
        <v>81</v>
      </c>
      <c r="H308" s="199">
        <v>1602000</v>
      </c>
      <c r="I308" s="200"/>
      <c r="J308" s="196"/>
      <c r="K308" s="199"/>
      <c r="L308" s="201"/>
      <c r="M308" s="202"/>
      <c r="N308" s="203"/>
      <c r="O308" s="196"/>
      <c r="P308" s="196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6">
        <v>310</v>
      </c>
      <c r="B309" s="195" t="s">
        <v>91</v>
      </c>
      <c r="C309" s="195" t="s">
        <v>184</v>
      </c>
      <c r="D309" s="195" t="s">
        <v>813</v>
      </c>
      <c r="E309" s="195" t="s">
        <v>79</v>
      </c>
      <c r="F309" s="197" t="s">
        <v>814</v>
      </c>
      <c r="G309" s="198" t="s">
        <v>81</v>
      </c>
      <c r="H309" s="199">
        <v>529500</v>
      </c>
      <c r="I309" s="200"/>
      <c r="J309" s="196"/>
      <c r="K309" s="199"/>
      <c r="L309" s="201"/>
      <c r="M309" s="202"/>
      <c r="N309" s="203"/>
      <c r="O309" s="196"/>
      <c r="P309" s="196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6">
        <v>311</v>
      </c>
      <c r="B310" s="195" t="s">
        <v>335</v>
      </c>
      <c r="C310" s="195" t="s">
        <v>336</v>
      </c>
      <c r="D310" s="195" t="s">
        <v>815</v>
      </c>
      <c r="E310" s="195" t="s">
        <v>79</v>
      </c>
      <c r="F310" s="197" t="s">
        <v>816</v>
      </c>
      <c r="G310" s="198" t="s">
        <v>81</v>
      </c>
      <c r="H310" s="199">
        <v>5650000</v>
      </c>
      <c r="I310" s="200"/>
      <c r="J310" s="196" t="s">
        <v>817</v>
      </c>
      <c r="K310" s="199"/>
      <c r="L310" s="201"/>
      <c r="M310" s="202"/>
      <c r="N310" s="203"/>
      <c r="O310" s="196"/>
      <c r="P310" s="196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6">
        <v>312</v>
      </c>
      <c r="B311" s="195" t="s">
        <v>335</v>
      </c>
      <c r="C311" s="195" t="s">
        <v>336</v>
      </c>
      <c r="D311" s="195" t="s">
        <v>818</v>
      </c>
      <c r="E311" s="195" t="s">
        <v>79</v>
      </c>
      <c r="F311" s="197" t="s">
        <v>814</v>
      </c>
      <c r="G311" s="198" t="s">
        <v>81</v>
      </c>
      <c r="H311" s="199">
        <v>2450000</v>
      </c>
      <c r="I311" s="200"/>
      <c r="J311" s="196" t="s">
        <v>819</v>
      </c>
      <c r="K311" s="199"/>
      <c r="L311" s="201"/>
      <c r="M311" s="202"/>
      <c r="N311" s="203"/>
      <c r="O311" s="196"/>
      <c r="P311" s="196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6">
        <v>313</v>
      </c>
      <c r="B312" s="195" t="s">
        <v>335</v>
      </c>
      <c r="C312" s="195" t="s">
        <v>820</v>
      </c>
      <c r="D312" s="195" t="s">
        <v>821</v>
      </c>
      <c r="E312" s="195" t="s">
        <v>79</v>
      </c>
      <c r="F312" s="197" t="s">
        <v>814</v>
      </c>
      <c r="G312" s="198" t="s">
        <v>81</v>
      </c>
      <c r="H312" s="199">
        <v>9300000</v>
      </c>
      <c r="I312" s="200"/>
      <c r="J312" s="196"/>
      <c r="K312" s="199"/>
      <c r="L312" s="201"/>
      <c r="M312" s="202"/>
      <c r="N312" s="203"/>
      <c r="O312" s="196"/>
      <c r="P312" s="196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6">
        <v>314</v>
      </c>
      <c r="B313" s="195" t="s">
        <v>91</v>
      </c>
      <c r="C313" s="195" t="s">
        <v>398</v>
      </c>
      <c r="D313" s="195" t="s">
        <v>822</v>
      </c>
      <c r="E313" s="195" t="s">
        <v>79</v>
      </c>
      <c r="F313" s="197" t="s">
        <v>787</v>
      </c>
      <c r="G313" s="198" t="s">
        <v>704</v>
      </c>
      <c r="H313" s="199">
        <f>525000+43000</f>
        <v>568000</v>
      </c>
      <c r="I313" s="200"/>
      <c r="J313" s="196"/>
      <c r="K313" s="199"/>
      <c r="L313" s="201"/>
      <c r="M313" s="202"/>
      <c r="N313" s="203"/>
      <c r="O313" s="196"/>
      <c r="P313" s="196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6">
        <v>315</v>
      </c>
      <c r="B314" s="195" t="s">
        <v>130</v>
      </c>
      <c r="C314" s="195" t="s">
        <v>823</v>
      </c>
      <c r="D314" s="195" t="s">
        <v>824</v>
      </c>
      <c r="E314" s="195" t="s">
        <v>79</v>
      </c>
      <c r="F314" s="197" t="s">
        <v>814</v>
      </c>
      <c r="G314" s="198" t="s">
        <v>825</v>
      </c>
      <c r="H314" s="199">
        <v>40000</v>
      </c>
      <c r="I314" s="200"/>
      <c r="J314" s="196"/>
      <c r="K314" s="199"/>
      <c r="L314" s="201"/>
      <c r="M314" s="202"/>
      <c r="N314" s="203"/>
      <c r="O314" s="196"/>
      <c r="P314" s="196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6">
        <v>316</v>
      </c>
      <c r="B315" s="195" t="s">
        <v>130</v>
      </c>
      <c r="C315" s="195" t="s">
        <v>826</v>
      </c>
      <c r="D315" s="195" t="s">
        <v>827</v>
      </c>
      <c r="E315" s="195" t="s">
        <v>79</v>
      </c>
      <c r="F315" s="197" t="s">
        <v>802</v>
      </c>
      <c r="G315" s="198" t="s">
        <v>81</v>
      </c>
      <c r="H315" s="199">
        <v>4000400</v>
      </c>
      <c r="I315" s="200"/>
      <c r="J315" s="196" t="s">
        <v>828</v>
      </c>
      <c r="K315" s="199"/>
      <c r="L315" s="201"/>
      <c r="M315" s="202"/>
      <c r="N315" s="203"/>
      <c r="O315" s="196"/>
      <c r="P315" s="196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6">
        <v>317</v>
      </c>
      <c r="B316" s="195" t="s">
        <v>335</v>
      </c>
      <c r="C316" s="195" t="s">
        <v>829</v>
      </c>
      <c r="D316" s="195" t="s">
        <v>830</v>
      </c>
      <c r="E316" s="195" t="s">
        <v>79</v>
      </c>
      <c r="F316" s="197" t="s">
        <v>814</v>
      </c>
      <c r="G316" s="198" t="s">
        <v>81</v>
      </c>
      <c r="H316" s="199">
        <v>2503000</v>
      </c>
      <c r="I316" s="200"/>
      <c r="J316" s="196" t="s">
        <v>831</v>
      </c>
      <c r="K316" s="199"/>
      <c r="L316" s="201"/>
      <c r="M316" s="202"/>
      <c r="N316" s="203"/>
      <c r="O316" s="196"/>
      <c r="P316" s="196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6">
        <v>318</v>
      </c>
      <c r="B317" s="195" t="s">
        <v>361</v>
      </c>
      <c r="C317" s="195" t="s">
        <v>398</v>
      </c>
      <c r="D317" s="195" t="s">
        <v>832</v>
      </c>
      <c r="E317" s="195" t="s">
        <v>79</v>
      </c>
      <c r="F317" s="197" t="s">
        <v>833</v>
      </c>
      <c r="G317" s="198" t="s">
        <v>81</v>
      </c>
      <c r="H317" s="199">
        <v>1058790</v>
      </c>
      <c r="I317" s="200"/>
      <c r="J317" s="196"/>
      <c r="K317" s="199"/>
      <c r="L317" s="201"/>
      <c r="M317" s="202"/>
      <c r="N317" s="203"/>
      <c r="O317" s="196"/>
      <c r="P317" s="196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6">
        <v>319</v>
      </c>
      <c r="B318" s="195" t="s">
        <v>361</v>
      </c>
      <c r="C318" s="195" t="s">
        <v>398</v>
      </c>
      <c r="D318" s="195" t="s">
        <v>834</v>
      </c>
      <c r="E318" s="195" t="s">
        <v>79</v>
      </c>
      <c r="F318" s="197" t="s">
        <v>833</v>
      </c>
      <c r="G318" s="198" t="s">
        <v>81</v>
      </c>
      <c r="H318" s="199">
        <v>56100</v>
      </c>
      <c r="I318" s="200"/>
      <c r="J318" s="196"/>
      <c r="K318" s="199"/>
      <c r="L318" s="201"/>
      <c r="M318" s="202"/>
      <c r="N318" s="203"/>
      <c r="O318" s="196"/>
      <c r="P318" s="196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6">
        <v>320</v>
      </c>
      <c r="B319" s="195" t="s">
        <v>361</v>
      </c>
      <c r="C319" s="195" t="s">
        <v>398</v>
      </c>
      <c r="D319" s="195" t="s">
        <v>835</v>
      </c>
      <c r="E319" s="195" t="s">
        <v>79</v>
      </c>
      <c r="F319" s="197" t="s">
        <v>833</v>
      </c>
      <c r="G319" s="198" t="s">
        <v>81</v>
      </c>
      <c r="H319" s="199">
        <v>250000</v>
      </c>
      <c r="I319" s="200"/>
      <c r="J319" s="196"/>
      <c r="K319" s="199"/>
      <c r="L319" s="201"/>
      <c r="M319" s="202"/>
      <c r="N319" s="203"/>
      <c r="O319" s="196"/>
      <c r="P319" s="196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6">
        <v>321</v>
      </c>
      <c r="B320" s="195" t="s">
        <v>361</v>
      </c>
      <c r="C320" s="195" t="s">
        <v>836</v>
      </c>
      <c r="D320" s="195" t="s">
        <v>837</v>
      </c>
      <c r="E320" s="195" t="s">
        <v>79</v>
      </c>
      <c r="F320" s="197" t="s">
        <v>833</v>
      </c>
      <c r="G320" s="198" t="s">
        <v>81</v>
      </c>
      <c r="H320" s="199">
        <v>1220000</v>
      </c>
      <c r="I320" s="200"/>
      <c r="J320" s="196" t="s">
        <v>838</v>
      </c>
      <c r="K320" s="199"/>
      <c r="L320" s="201"/>
      <c r="M320" s="202"/>
      <c r="N320" s="203"/>
      <c r="O320" s="196"/>
      <c r="P320" s="196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6">
        <v>322</v>
      </c>
      <c r="B321" s="195" t="s">
        <v>361</v>
      </c>
      <c r="C321" s="195" t="s">
        <v>839</v>
      </c>
      <c r="D321" s="195" t="s">
        <v>840</v>
      </c>
      <c r="E321" s="195" t="s">
        <v>79</v>
      </c>
      <c r="F321" s="197" t="s">
        <v>833</v>
      </c>
      <c r="G321" s="198" t="s">
        <v>704</v>
      </c>
      <c r="H321" s="199">
        <v>74000</v>
      </c>
      <c r="I321" s="200"/>
      <c r="J321" s="196"/>
      <c r="K321" s="199"/>
      <c r="L321" s="201"/>
      <c r="M321" s="202"/>
      <c r="N321" s="203"/>
      <c r="O321" s="196"/>
      <c r="P321" s="196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6">
        <v>323</v>
      </c>
      <c r="B322" s="195" t="s">
        <v>361</v>
      </c>
      <c r="C322" s="195" t="s">
        <v>757</v>
      </c>
      <c r="D322" s="195" t="s">
        <v>841</v>
      </c>
      <c r="E322" s="195" t="s">
        <v>79</v>
      </c>
      <c r="F322" s="197" t="s">
        <v>433</v>
      </c>
      <c r="G322" s="198" t="s">
        <v>81</v>
      </c>
      <c r="H322" s="199">
        <v>0</v>
      </c>
      <c r="I322" s="200"/>
      <c r="J322" s="196" t="s">
        <v>842</v>
      </c>
      <c r="K322" s="199"/>
      <c r="L322" s="201"/>
      <c r="M322" s="202"/>
      <c r="N322" s="203"/>
      <c r="O322" s="196"/>
      <c r="P322" s="196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6">
        <v>324</v>
      </c>
      <c r="B323" s="195" t="s">
        <v>361</v>
      </c>
      <c r="C323" s="195" t="s">
        <v>843</v>
      </c>
      <c r="D323" s="195" t="s">
        <v>844</v>
      </c>
      <c r="E323" s="195" t="s">
        <v>79</v>
      </c>
      <c r="F323" s="197"/>
      <c r="G323" s="198" t="s">
        <v>81</v>
      </c>
      <c r="H323" s="199">
        <v>0</v>
      </c>
      <c r="I323" s="200"/>
      <c r="J323" s="196" t="s">
        <v>845</v>
      </c>
      <c r="K323" s="199"/>
      <c r="L323" s="201"/>
      <c r="M323" s="202"/>
      <c r="N323" s="203"/>
      <c r="O323" s="196"/>
      <c r="P323" s="196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6">
        <v>325</v>
      </c>
      <c r="B324" s="195" t="s">
        <v>318</v>
      </c>
      <c r="C324" s="195" t="s">
        <v>400</v>
      </c>
      <c r="D324" s="195" t="s">
        <v>846</v>
      </c>
      <c r="E324" s="195" t="s">
        <v>79</v>
      </c>
      <c r="F324" s="197"/>
      <c r="G324" s="198" t="s">
        <v>81</v>
      </c>
      <c r="H324" s="199">
        <v>0</v>
      </c>
      <c r="I324" s="200"/>
      <c r="J324" s="196" t="s">
        <v>845</v>
      </c>
      <c r="K324" s="199"/>
      <c r="L324" s="201"/>
      <c r="M324" s="202"/>
      <c r="N324" s="203"/>
      <c r="O324" s="196"/>
      <c r="P324" s="196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6">
        <v>326</v>
      </c>
      <c r="B325" s="195" t="s">
        <v>318</v>
      </c>
      <c r="C325" s="195" t="s">
        <v>678</v>
      </c>
      <c r="D325" s="195" t="s">
        <v>847</v>
      </c>
      <c r="E325" s="195" t="s">
        <v>550</v>
      </c>
      <c r="F325" s="197" t="s">
        <v>848</v>
      </c>
      <c r="G325" s="198" t="s">
        <v>81</v>
      </c>
      <c r="H325" s="199">
        <v>300000000</v>
      </c>
      <c r="I325" s="200"/>
      <c r="J325" s="196" t="s">
        <v>849</v>
      </c>
      <c r="K325" s="199"/>
      <c r="L325" s="201"/>
      <c r="M325" s="202"/>
      <c r="N325" s="203"/>
      <c r="O325" s="196"/>
      <c r="P325" s="196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6">
        <v>327</v>
      </c>
      <c r="B326" s="195" t="s">
        <v>850</v>
      </c>
      <c r="C326" s="195" t="s">
        <v>851</v>
      </c>
      <c r="D326" s="195" t="s">
        <v>852</v>
      </c>
      <c r="E326" s="195" t="s">
        <v>332</v>
      </c>
      <c r="F326" s="197" t="s">
        <v>853</v>
      </c>
      <c r="G326" s="198" t="s">
        <v>81</v>
      </c>
      <c r="H326" s="199">
        <v>30000000</v>
      </c>
      <c r="I326" s="200"/>
      <c r="J326" s="196" t="s">
        <v>854</v>
      </c>
      <c r="K326" s="199"/>
      <c r="L326" s="201"/>
      <c r="M326" s="202"/>
      <c r="N326" s="203"/>
      <c r="O326" s="196"/>
      <c r="P326" s="196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6">
        <v>328</v>
      </c>
      <c r="B327" s="195" t="s">
        <v>850</v>
      </c>
      <c r="C327" s="195" t="s">
        <v>851</v>
      </c>
      <c r="D327" s="195" t="s">
        <v>852</v>
      </c>
      <c r="E327" s="195" t="s">
        <v>332</v>
      </c>
      <c r="F327" s="197" t="s">
        <v>73</v>
      </c>
      <c r="G327" s="198" t="s">
        <v>81</v>
      </c>
      <c r="H327" s="199">
        <v>26000000</v>
      </c>
      <c r="I327" s="200"/>
      <c r="J327" s="196" t="s">
        <v>854</v>
      </c>
      <c r="K327" s="199"/>
      <c r="L327" s="201"/>
      <c r="M327" s="202"/>
      <c r="N327" s="203"/>
      <c r="O327" s="196"/>
      <c r="P327" s="196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6">
        <v>329</v>
      </c>
      <c r="B328" s="195" t="s">
        <v>850</v>
      </c>
      <c r="C328" s="195" t="s">
        <v>851</v>
      </c>
      <c r="D328" s="195" t="s">
        <v>855</v>
      </c>
      <c r="E328" s="195" t="s">
        <v>148</v>
      </c>
      <c r="F328" s="197" t="s">
        <v>856</v>
      </c>
      <c r="G328" s="198" t="s">
        <v>81</v>
      </c>
      <c r="H328" s="199">
        <v>130000000</v>
      </c>
      <c r="I328" s="200"/>
      <c r="J328" s="196"/>
      <c r="K328" s="199"/>
      <c r="L328" s="201"/>
      <c r="M328" s="202"/>
      <c r="N328" s="203"/>
      <c r="O328" s="196"/>
      <c r="P328" s="196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6">
        <v>330</v>
      </c>
      <c r="B329" s="195" t="s">
        <v>91</v>
      </c>
      <c r="C329" s="195" t="s">
        <v>857</v>
      </c>
      <c r="D329" s="195" t="s">
        <v>858</v>
      </c>
      <c r="E329" s="195" t="s">
        <v>79</v>
      </c>
      <c r="F329" s="197" t="s">
        <v>859</v>
      </c>
      <c r="G329" s="198" t="s">
        <v>81</v>
      </c>
      <c r="H329" s="199">
        <v>50000</v>
      </c>
      <c r="I329" s="200"/>
      <c r="J329" s="196"/>
      <c r="K329" s="199"/>
      <c r="L329" s="201"/>
      <c r="M329" s="202"/>
      <c r="N329" s="203"/>
      <c r="O329" s="196"/>
      <c r="P329" s="196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6">
        <v>331</v>
      </c>
      <c r="B330" s="195" t="s">
        <v>114</v>
      </c>
      <c r="C330" s="195" t="s">
        <v>186</v>
      </c>
      <c r="D330" s="195" t="s">
        <v>860</v>
      </c>
      <c r="E330" s="195" t="s">
        <v>79</v>
      </c>
      <c r="F330" s="197" t="s">
        <v>861</v>
      </c>
      <c r="G330" s="198" t="s">
        <v>81</v>
      </c>
      <c r="H330" s="199">
        <v>20000</v>
      </c>
      <c r="I330" s="200"/>
      <c r="J330" s="196"/>
      <c r="K330" s="199"/>
      <c r="L330" s="201"/>
      <c r="M330" s="202"/>
      <c r="N330" s="203"/>
      <c r="O330" s="196"/>
      <c r="P330" s="196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6">
        <v>332</v>
      </c>
      <c r="B331" s="195" t="s">
        <v>402</v>
      </c>
      <c r="C331" s="195" t="s">
        <v>862</v>
      </c>
      <c r="D331" s="195" t="s">
        <v>863</v>
      </c>
      <c r="E331" s="195" t="s">
        <v>79</v>
      </c>
      <c r="F331" s="197" t="s">
        <v>861</v>
      </c>
      <c r="G331" s="198" t="s">
        <v>81</v>
      </c>
      <c r="H331" s="199">
        <v>600000</v>
      </c>
      <c r="I331" s="200"/>
      <c r="J331" s="196"/>
      <c r="K331" s="199"/>
      <c r="L331" s="201"/>
      <c r="M331" s="202"/>
      <c r="N331" s="203"/>
      <c r="O331" s="196"/>
      <c r="P331" s="196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6">
        <v>333</v>
      </c>
      <c r="B332" s="195" t="s">
        <v>864</v>
      </c>
      <c r="C332" s="195" t="s">
        <v>865</v>
      </c>
      <c r="D332" s="195" t="s">
        <v>866</v>
      </c>
      <c r="E332" s="195" t="s">
        <v>148</v>
      </c>
      <c r="F332" s="197" t="s">
        <v>18</v>
      </c>
      <c r="G332" s="198" t="s">
        <v>81</v>
      </c>
      <c r="H332" s="199">
        <v>70000000</v>
      </c>
      <c r="I332" s="200"/>
      <c r="J332" s="196"/>
      <c r="K332" s="199"/>
      <c r="L332" s="201"/>
      <c r="M332" s="202"/>
      <c r="N332" s="203"/>
      <c r="O332" s="196"/>
      <c r="P332" s="196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6">
        <v>334</v>
      </c>
      <c r="B333" s="195" t="s">
        <v>864</v>
      </c>
      <c r="C333" s="195" t="s">
        <v>865</v>
      </c>
      <c r="D333" s="195" t="s">
        <v>866</v>
      </c>
      <c r="E333" s="195" t="s">
        <v>148</v>
      </c>
      <c r="F333" s="197" t="s">
        <v>355</v>
      </c>
      <c r="G333" s="198" t="s">
        <v>81</v>
      </c>
      <c r="H333" s="199">
        <v>70000000</v>
      </c>
      <c r="I333" s="200"/>
      <c r="J333" s="196"/>
      <c r="K333" s="199"/>
      <c r="L333" s="201"/>
      <c r="M333" s="202"/>
      <c r="N333" s="203"/>
      <c r="O333" s="196"/>
      <c r="P333" s="196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6">
        <v>335</v>
      </c>
      <c r="B334" s="195" t="s">
        <v>356</v>
      </c>
      <c r="C334" s="195" t="s">
        <v>867</v>
      </c>
      <c r="D334" s="195" t="s">
        <v>868</v>
      </c>
      <c r="E334" s="195" t="s">
        <v>79</v>
      </c>
      <c r="F334" s="197" t="s">
        <v>869</v>
      </c>
      <c r="G334" s="198" t="s">
        <v>81</v>
      </c>
      <c r="H334" s="199">
        <v>503700</v>
      </c>
      <c r="I334" s="200"/>
      <c r="J334" s="196"/>
      <c r="K334" s="199"/>
      <c r="L334" s="201"/>
      <c r="M334" s="202"/>
      <c r="N334" s="203"/>
      <c r="O334" s="196"/>
      <c r="P334" s="196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6">
        <v>336</v>
      </c>
      <c r="B335" s="195" t="s">
        <v>91</v>
      </c>
      <c r="C335" s="195" t="s">
        <v>870</v>
      </c>
      <c r="D335" s="195" t="s">
        <v>871</v>
      </c>
      <c r="E335" s="195" t="s">
        <v>79</v>
      </c>
      <c r="F335" s="197" t="s">
        <v>802</v>
      </c>
      <c r="G335" s="198" t="s">
        <v>81</v>
      </c>
      <c r="H335" s="199">
        <v>0</v>
      </c>
      <c r="I335" s="200"/>
      <c r="J335" s="196"/>
      <c r="K335" s="199"/>
      <c r="L335" s="201"/>
      <c r="M335" s="202"/>
      <c r="N335" s="203"/>
      <c r="O335" s="196"/>
      <c r="P335" s="196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6">
        <v>337</v>
      </c>
      <c r="B336" s="195" t="s">
        <v>91</v>
      </c>
      <c r="C336" s="195" t="s">
        <v>721</v>
      </c>
      <c r="D336" s="195" t="s">
        <v>872</v>
      </c>
      <c r="E336" s="195" t="s">
        <v>79</v>
      </c>
      <c r="F336" s="197" t="s">
        <v>802</v>
      </c>
      <c r="G336" s="198" t="s">
        <v>81</v>
      </c>
      <c r="H336" s="199">
        <v>80000</v>
      </c>
      <c r="I336" s="200"/>
      <c r="J336" s="196"/>
      <c r="K336" s="199"/>
      <c r="L336" s="201"/>
      <c r="M336" s="202"/>
      <c r="N336" s="203"/>
      <c r="O336" s="196"/>
      <c r="P336" s="196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6">
        <v>338</v>
      </c>
      <c r="B337" s="195" t="s">
        <v>177</v>
      </c>
      <c r="C337" s="195" t="s">
        <v>873</v>
      </c>
      <c r="D337" s="195" t="s">
        <v>874</v>
      </c>
      <c r="E337" s="195" t="s">
        <v>79</v>
      </c>
      <c r="F337" s="197" t="s">
        <v>352</v>
      </c>
      <c r="G337" s="198" t="s">
        <v>81</v>
      </c>
      <c r="H337" s="199">
        <v>1500000</v>
      </c>
      <c r="I337" s="200"/>
      <c r="J337" s="196"/>
      <c r="K337" s="199"/>
      <c r="L337" s="201"/>
      <c r="M337" s="202"/>
      <c r="N337" s="203"/>
      <c r="O337" s="196"/>
      <c r="P337" s="196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6">
        <v>339</v>
      </c>
      <c r="B338" s="195" t="s">
        <v>318</v>
      </c>
      <c r="C338" s="195" t="s">
        <v>400</v>
      </c>
      <c r="D338" s="195" t="s">
        <v>875</v>
      </c>
      <c r="E338" s="195" t="s">
        <v>79</v>
      </c>
      <c r="F338" s="197" t="s">
        <v>352</v>
      </c>
      <c r="G338" s="198" t="s">
        <v>81</v>
      </c>
      <c r="H338" s="199">
        <v>200000</v>
      </c>
      <c r="I338" s="200"/>
      <c r="J338" s="196" t="s">
        <v>876</v>
      </c>
      <c r="K338" s="199"/>
      <c r="L338" s="201"/>
      <c r="M338" s="202"/>
      <c r="N338" s="203"/>
      <c r="O338" s="196"/>
      <c r="P338" s="196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6">
        <v>340</v>
      </c>
      <c r="B339" s="195" t="s">
        <v>361</v>
      </c>
      <c r="C339" s="195" t="s">
        <v>757</v>
      </c>
      <c r="D339" s="195" t="s">
        <v>877</v>
      </c>
      <c r="E339" s="195" t="s">
        <v>79</v>
      </c>
      <c r="F339" s="197" t="s">
        <v>433</v>
      </c>
      <c r="G339" s="198" t="s">
        <v>81</v>
      </c>
      <c r="H339" s="199">
        <v>31003100</v>
      </c>
      <c r="I339" s="200"/>
      <c r="J339" s="196" t="s">
        <v>878</v>
      </c>
      <c r="K339" s="199" t="s">
        <v>879</v>
      </c>
      <c r="L339" s="201"/>
      <c r="M339" s="202"/>
      <c r="N339" s="203"/>
      <c r="O339" s="196"/>
      <c r="P339" s="196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6">
        <v>341</v>
      </c>
      <c r="B340" s="195" t="s">
        <v>361</v>
      </c>
      <c r="C340" s="195" t="s">
        <v>538</v>
      </c>
      <c r="D340" s="195" t="s">
        <v>880</v>
      </c>
      <c r="E340" s="195" t="s">
        <v>79</v>
      </c>
      <c r="F340" s="197" t="s">
        <v>352</v>
      </c>
      <c r="G340" s="198" t="s">
        <v>81</v>
      </c>
      <c r="H340" s="199">
        <v>300900</v>
      </c>
      <c r="I340" s="200"/>
      <c r="J340" s="196"/>
      <c r="K340" s="199"/>
      <c r="L340" s="201"/>
      <c r="M340" s="202"/>
      <c r="N340" s="203"/>
      <c r="O340" s="196"/>
      <c r="P340" s="196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6">
        <v>342</v>
      </c>
      <c r="B341" s="195" t="s">
        <v>130</v>
      </c>
      <c r="C341" s="195" t="s">
        <v>505</v>
      </c>
      <c r="D341" s="195" t="s">
        <v>881</v>
      </c>
      <c r="E341" s="195" t="s">
        <v>148</v>
      </c>
      <c r="F341" s="197" t="s">
        <v>882</v>
      </c>
      <c r="G341" s="198" t="s">
        <v>81</v>
      </c>
      <c r="H341" s="199">
        <v>100000000</v>
      </c>
      <c r="I341" s="200"/>
      <c r="J341" s="196"/>
      <c r="K341" s="199"/>
      <c r="L341" s="201"/>
      <c r="M341" s="202"/>
      <c r="N341" s="203"/>
      <c r="O341" s="196"/>
      <c r="P341" s="196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6">
        <v>343</v>
      </c>
      <c r="B342" s="195" t="s">
        <v>130</v>
      </c>
      <c r="C342" s="195" t="s">
        <v>505</v>
      </c>
      <c r="D342" s="195" t="s">
        <v>881</v>
      </c>
      <c r="E342" s="195" t="s">
        <v>148</v>
      </c>
      <c r="F342" s="197" t="s">
        <v>655</v>
      </c>
      <c r="G342" s="198" t="s">
        <v>81</v>
      </c>
      <c r="H342" s="199">
        <v>50000000</v>
      </c>
      <c r="I342" s="200"/>
      <c r="J342" s="196"/>
      <c r="K342" s="199"/>
      <c r="L342" s="201"/>
      <c r="M342" s="202"/>
      <c r="N342" s="203"/>
      <c r="O342" s="196"/>
      <c r="P342" s="196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6">
        <v>344</v>
      </c>
      <c r="B343" s="195" t="s">
        <v>130</v>
      </c>
      <c r="C343" s="195" t="s">
        <v>505</v>
      </c>
      <c r="D343" s="195" t="s">
        <v>883</v>
      </c>
      <c r="E343" s="195" t="s">
        <v>148</v>
      </c>
      <c r="F343" s="197" t="s">
        <v>882</v>
      </c>
      <c r="G343" s="198" t="s">
        <v>81</v>
      </c>
      <c r="H343" s="199">
        <v>100000000</v>
      </c>
      <c r="I343" s="200"/>
      <c r="J343" s="196"/>
      <c r="K343" s="199"/>
      <c r="L343" s="201"/>
      <c r="M343" s="202"/>
      <c r="N343" s="203"/>
      <c r="O343" s="196"/>
      <c r="P343" s="196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6">
        <v>345</v>
      </c>
      <c r="B344" s="195" t="s">
        <v>130</v>
      </c>
      <c r="C344" s="195" t="s">
        <v>505</v>
      </c>
      <c r="D344" s="195" t="s">
        <v>883</v>
      </c>
      <c r="E344" s="195" t="s">
        <v>148</v>
      </c>
      <c r="F344" s="197" t="s">
        <v>655</v>
      </c>
      <c r="G344" s="198" t="s">
        <v>81</v>
      </c>
      <c r="H344" s="199">
        <v>50000000</v>
      </c>
      <c r="I344" s="200"/>
      <c r="J344" s="196"/>
      <c r="K344" s="199"/>
      <c r="L344" s="201"/>
      <c r="M344" s="202"/>
      <c r="N344" s="203"/>
      <c r="O344" s="196"/>
      <c r="P344" s="196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6">
        <v>346</v>
      </c>
      <c r="B345" s="195" t="s">
        <v>884</v>
      </c>
      <c r="C345" s="195" t="s">
        <v>885</v>
      </c>
      <c r="D345" s="195" t="s">
        <v>886</v>
      </c>
      <c r="E345" s="195" t="s">
        <v>148</v>
      </c>
      <c r="F345" s="197" t="s">
        <v>887</v>
      </c>
      <c r="G345" s="198" t="s">
        <v>81</v>
      </c>
      <c r="H345" s="199">
        <v>20000000</v>
      </c>
      <c r="I345" s="200"/>
      <c r="J345" s="196"/>
      <c r="K345" s="199"/>
      <c r="L345" s="201"/>
      <c r="M345" s="202"/>
      <c r="N345" s="203"/>
      <c r="O345" s="196"/>
      <c r="P345" s="196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6">
        <v>347</v>
      </c>
      <c r="B346" s="195" t="s">
        <v>361</v>
      </c>
      <c r="C346" s="195" t="s">
        <v>702</v>
      </c>
      <c r="D346" s="195" t="s">
        <v>888</v>
      </c>
      <c r="E346" s="195" t="s">
        <v>79</v>
      </c>
      <c r="F346" s="197" t="s">
        <v>352</v>
      </c>
      <c r="G346" s="198" t="s">
        <v>81</v>
      </c>
      <c r="H346" s="199">
        <v>1074205</v>
      </c>
      <c r="I346" s="200"/>
      <c r="J346" s="196"/>
      <c r="K346" s="199"/>
      <c r="L346" s="201"/>
      <c r="M346" s="202"/>
      <c r="N346" s="203"/>
      <c r="O346" s="196"/>
      <c r="P346" s="196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6">
        <v>348</v>
      </c>
      <c r="B347" s="195" t="s">
        <v>361</v>
      </c>
      <c r="C347" s="195" t="s">
        <v>702</v>
      </c>
      <c r="D347" s="195" t="s">
        <v>889</v>
      </c>
      <c r="E347" s="195" t="s">
        <v>79</v>
      </c>
      <c r="F347" s="197" t="s">
        <v>352</v>
      </c>
      <c r="G347" s="198" t="s">
        <v>81</v>
      </c>
      <c r="H347" s="199">
        <v>43100</v>
      </c>
      <c r="I347" s="200"/>
      <c r="J347" s="196"/>
      <c r="K347" s="199"/>
      <c r="L347" s="201"/>
      <c r="M347" s="202"/>
      <c r="N347" s="203"/>
      <c r="O347" s="196"/>
      <c r="P347" s="196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6">
        <v>349</v>
      </c>
      <c r="B348" s="195" t="s">
        <v>91</v>
      </c>
      <c r="C348" s="195" t="s">
        <v>870</v>
      </c>
      <c r="D348" s="195" t="s">
        <v>890</v>
      </c>
      <c r="E348" s="195" t="s">
        <v>79</v>
      </c>
      <c r="F348" s="197" t="s">
        <v>352</v>
      </c>
      <c r="G348" s="198" t="s">
        <v>81</v>
      </c>
      <c r="H348" s="199">
        <v>0</v>
      </c>
      <c r="I348" s="200"/>
      <c r="J348" s="196" t="s">
        <v>891</v>
      </c>
      <c r="K348" s="199"/>
      <c r="L348" s="201"/>
      <c r="M348" s="202"/>
      <c r="N348" s="203"/>
      <c r="O348" s="196"/>
      <c r="P348" s="196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6">
        <v>350</v>
      </c>
      <c r="B349" s="195" t="s">
        <v>130</v>
      </c>
      <c r="C349" s="195" t="s">
        <v>583</v>
      </c>
      <c r="D349" s="195" t="s">
        <v>892</v>
      </c>
      <c r="E349" s="195" t="s">
        <v>79</v>
      </c>
      <c r="F349" s="197" t="s">
        <v>352</v>
      </c>
      <c r="G349" s="198" t="s">
        <v>81</v>
      </c>
      <c r="H349" s="199">
        <v>60000</v>
      </c>
      <c r="I349" s="200"/>
      <c r="J349" s="196"/>
      <c r="K349" s="199"/>
      <c r="L349" s="201"/>
      <c r="M349" s="202"/>
      <c r="N349" s="203"/>
      <c r="O349" s="196"/>
      <c r="P349" s="196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6">
        <v>351</v>
      </c>
      <c r="B350" s="195" t="s">
        <v>91</v>
      </c>
      <c r="C350" s="195" t="s">
        <v>893</v>
      </c>
      <c r="D350" s="195" t="s">
        <v>894</v>
      </c>
      <c r="E350" s="195" t="s">
        <v>79</v>
      </c>
      <c r="F350" s="197" t="s">
        <v>352</v>
      </c>
      <c r="G350" s="198" t="s">
        <v>81</v>
      </c>
      <c r="H350" s="199">
        <v>15000</v>
      </c>
      <c r="I350" s="200"/>
      <c r="J350" s="196"/>
      <c r="K350" s="199"/>
      <c r="L350" s="201"/>
      <c r="M350" s="202"/>
      <c r="N350" s="203"/>
      <c r="O350" s="196"/>
      <c r="P350" s="196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6">
        <v>352</v>
      </c>
      <c r="B351" s="195" t="s">
        <v>234</v>
      </c>
      <c r="C351" s="195" t="s">
        <v>895</v>
      </c>
      <c r="D351" s="195" t="s">
        <v>896</v>
      </c>
      <c r="E351" s="195" t="s">
        <v>79</v>
      </c>
      <c r="F351" s="197" t="s">
        <v>887</v>
      </c>
      <c r="G351" s="198" t="s">
        <v>81</v>
      </c>
      <c r="H351" s="199">
        <v>1402000</v>
      </c>
      <c r="I351" s="200"/>
      <c r="J351" s="196"/>
      <c r="K351" s="199"/>
      <c r="L351" s="201"/>
      <c r="M351" s="202"/>
      <c r="N351" s="203"/>
      <c r="O351" s="196"/>
      <c r="P351" s="196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6">
        <v>353</v>
      </c>
      <c r="B352" s="195" t="s">
        <v>402</v>
      </c>
      <c r="C352" s="195" t="s">
        <v>223</v>
      </c>
      <c r="D352" s="195" t="s">
        <v>897</v>
      </c>
      <c r="E352" s="195" t="s">
        <v>79</v>
      </c>
      <c r="F352" s="197" t="s">
        <v>898</v>
      </c>
      <c r="G352" s="198" t="s">
        <v>81</v>
      </c>
      <c r="H352" s="199">
        <v>4802000</v>
      </c>
      <c r="I352" s="200"/>
      <c r="J352" s="196"/>
      <c r="K352" s="199"/>
      <c r="L352" s="201"/>
      <c r="M352" s="202"/>
      <c r="N352" s="203"/>
      <c r="O352" s="196"/>
      <c r="P352" s="196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6">
        <v>354</v>
      </c>
      <c r="B353" s="195" t="s">
        <v>402</v>
      </c>
      <c r="C353" s="195" t="s">
        <v>899</v>
      </c>
      <c r="D353" s="195" t="s">
        <v>900</v>
      </c>
      <c r="E353" s="195" t="s">
        <v>79</v>
      </c>
      <c r="F353" s="197" t="s">
        <v>898</v>
      </c>
      <c r="G353" s="198" t="s">
        <v>81</v>
      </c>
      <c r="H353" s="199">
        <v>40010000</v>
      </c>
      <c r="I353" s="200"/>
      <c r="J353" s="196"/>
      <c r="K353" s="199"/>
      <c r="L353" s="201"/>
      <c r="M353" s="202"/>
      <c r="N353" s="203"/>
      <c r="O353" s="196"/>
      <c r="P353" s="196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6">
        <v>355</v>
      </c>
      <c r="B354" s="195" t="s">
        <v>177</v>
      </c>
      <c r="C354" s="195" t="s">
        <v>901</v>
      </c>
      <c r="D354" s="195" t="s">
        <v>902</v>
      </c>
      <c r="E354" s="195" t="s">
        <v>79</v>
      </c>
      <c r="F354" s="197" t="s">
        <v>816</v>
      </c>
      <c r="G354" s="198" t="s">
        <v>81</v>
      </c>
      <c r="H354" s="199">
        <v>5005000</v>
      </c>
      <c r="I354" s="200"/>
      <c r="J354" s="196"/>
      <c r="K354" s="199"/>
      <c r="L354" s="201"/>
      <c r="M354" s="202"/>
      <c r="N354" s="203"/>
      <c r="O354" s="196"/>
      <c r="P354" s="196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6">
        <v>356</v>
      </c>
      <c r="B355" s="195" t="s">
        <v>177</v>
      </c>
      <c r="C355" s="195" t="s">
        <v>901</v>
      </c>
      <c r="D355" s="195" t="s">
        <v>903</v>
      </c>
      <c r="E355" s="195" t="s">
        <v>79</v>
      </c>
      <c r="F355" s="197" t="s">
        <v>816</v>
      </c>
      <c r="G355" s="198" t="s">
        <v>81</v>
      </c>
      <c r="H355" s="199">
        <v>10005000</v>
      </c>
      <c r="I355" s="200"/>
      <c r="J355" s="196"/>
      <c r="K355" s="199"/>
      <c r="L355" s="201"/>
      <c r="M355" s="202"/>
      <c r="N355" s="203"/>
      <c r="O355" s="196"/>
      <c r="P355" s="196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6">
        <v>357</v>
      </c>
      <c r="B356" s="195" t="s">
        <v>177</v>
      </c>
      <c r="C356" s="195" t="s">
        <v>901</v>
      </c>
      <c r="D356" s="195" t="s">
        <v>904</v>
      </c>
      <c r="E356" s="195" t="s">
        <v>148</v>
      </c>
      <c r="F356" s="197" t="s">
        <v>433</v>
      </c>
      <c r="G356" s="198" t="s">
        <v>81</v>
      </c>
      <c r="H356" s="199">
        <v>130000000</v>
      </c>
      <c r="I356" s="200"/>
      <c r="J356" s="196"/>
      <c r="K356" s="199"/>
      <c r="L356" s="201"/>
      <c r="M356" s="202"/>
      <c r="N356" s="203"/>
      <c r="O356" s="196"/>
      <c r="P356" s="196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6">
        <v>358</v>
      </c>
      <c r="B357" s="195" t="s">
        <v>850</v>
      </c>
      <c r="C357" s="195" t="s">
        <v>905</v>
      </c>
      <c r="D357" s="195" t="s">
        <v>906</v>
      </c>
      <c r="E357" s="195" t="s">
        <v>79</v>
      </c>
      <c r="F357" s="197" t="s">
        <v>816</v>
      </c>
      <c r="G357" s="198" t="s">
        <v>81</v>
      </c>
      <c r="H357" s="199">
        <v>6605000</v>
      </c>
      <c r="I357" s="200"/>
      <c r="J357" s="196"/>
      <c r="K357" s="199"/>
      <c r="L357" s="201"/>
      <c r="M357" s="202"/>
      <c r="N357" s="203"/>
      <c r="O357" s="196"/>
      <c r="P357" s="196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6">
        <v>358</v>
      </c>
      <c r="B358" s="195" t="s">
        <v>850</v>
      </c>
      <c r="C358" s="195" t="s">
        <v>907</v>
      </c>
      <c r="D358" s="195" t="s">
        <v>908</v>
      </c>
      <c r="E358" s="195" t="s">
        <v>79</v>
      </c>
      <c r="F358" s="197" t="s">
        <v>909</v>
      </c>
      <c r="G358" s="198" t="s">
        <v>81</v>
      </c>
      <c r="H358" s="199">
        <v>7502000</v>
      </c>
      <c r="I358" s="200"/>
      <c r="J358" s="196" t="s">
        <v>910</v>
      </c>
      <c r="K358" s="199"/>
      <c r="L358" s="201"/>
      <c r="M358" s="202"/>
      <c r="N358" s="203"/>
      <c r="O358" s="196"/>
      <c r="P358" s="196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6">
        <v>359</v>
      </c>
      <c r="B359" s="195" t="s">
        <v>850</v>
      </c>
      <c r="C359" s="195" t="s">
        <v>911</v>
      </c>
      <c r="D359" s="195" t="s">
        <v>912</v>
      </c>
      <c r="E359" s="195" t="s">
        <v>79</v>
      </c>
      <c r="F359" s="197" t="s">
        <v>816</v>
      </c>
      <c r="G359" s="198" t="s">
        <v>81</v>
      </c>
      <c r="H359" s="199">
        <v>5400000</v>
      </c>
      <c r="I359" s="200"/>
      <c r="J359" s="196"/>
      <c r="K359" s="199"/>
      <c r="L359" s="201"/>
      <c r="M359" s="202"/>
      <c r="N359" s="203"/>
      <c r="O359" s="196"/>
      <c r="P359" s="196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6">
        <v>340</v>
      </c>
      <c r="B360" s="195" t="s">
        <v>864</v>
      </c>
      <c r="C360" s="195" t="s">
        <v>865</v>
      </c>
      <c r="D360" s="195" t="s">
        <v>913</v>
      </c>
      <c r="E360" s="195" t="s">
        <v>148</v>
      </c>
      <c r="F360" s="197" t="s">
        <v>816</v>
      </c>
      <c r="G360" s="198" t="s">
        <v>81</v>
      </c>
      <c r="H360" s="199">
        <v>30000000</v>
      </c>
      <c r="I360" s="200"/>
      <c r="J360" s="196"/>
      <c r="K360" s="199"/>
      <c r="L360" s="201"/>
      <c r="M360" s="202"/>
      <c r="N360" s="203"/>
      <c r="O360" s="196"/>
      <c r="P360" s="196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6">
        <v>341</v>
      </c>
      <c r="B361" s="195" t="s">
        <v>864</v>
      </c>
      <c r="C361" s="195" t="s">
        <v>914</v>
      </c>
      <c r="D361" s="195" t="s">
        <v>915</v>
      </c>
      <c r="E361" s="195" t="s">
        <v>79</v>
      </c>
      <c r="F361" s="197" t="s">
        <v>816</v>
      </c>
      <c r="G361" s="198" t="s">
        <v>81</v>
      </c>
      <c r="H361" s="199">
        <v>12000000</v>
      </c>
      <c r="I361" s="200"/>
      <c r="J361" s="196" t="s">
        <v>916</v>
      </c>
      <c r="K361" s="199"/>
      <c r="L361" s="201"/>
      <c r="M361" s="202"/>
      <c r="N361" s="203"/>
      <c r="O361" s="196"/>
      <c r="P361" s="196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6">
        <v>342</v>
      </c>
      <c r="B362" s="195" t="s">
        <v>177</v>
      </c>
      <c r="C362" s="195" t="s">
        <v>901</v>
      </c>
      <c r="D362" s="195" t="s">
        <v>917</v>
      </c>
      <c r="E362" s="195" t="s">
        <v>79</v>
      </c>
      <c r="F362" s="197" t="s">
        <v>433</v>
      </c>
      <c r="G362" s="198" t="s">
        <v>81</v>
      </c>
      <c r="H362" s="199">
        <v>10050000</v>
      </c>
      <c r="I362" s="200"/>
      <c r="J362" s="196"/>
      <c r="K362" s="199"/>
      <c r="L362" s="201"/>
      <c r="M362" s="202"/>
      <c r="N362" s="203"/>
      <c r="O362" s="196"/>
      <c r="P362" s="196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6">
        <v>343</v>
      </c>
      <c r="B363" s="195" t="s">
        <v>864</v>
      </c>
      <c r="C363" s="195" t="s">
        <v>918</v>
      </c>
      <c r="D363" s="195" t="s">
        <v>919</v>
      </c>
      <c r="E363" s="195" t="s">
        <v>332</v>
      </c>
      <c r="F363" s="197" t="s">
        <v>920</v>
      </c>
      <c r="G363" s="198" t="s">
        <v>81</v>
      </c>
      <c r="H363" s="199">
        <v>35000000</v>
      </c>
      <c r="I363" s="200"/>
      <c r="J363" s="196" t="s">
        <v>854</v>
      </c>
      <c r="K363" s="199"/>
      <c r="L363" s="201"/>
      <c r="M363" s="202"/>
      <c r="N363" s="203"/>
      <c r="O363" s="196"/>
      <c r="P363" s="196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6">
        <v>344</v>
      </c>
      <c r="B364" s="195" t="s">
        <v>864</v>
      </c>
      <c r="C364" s="195" t="s">
        <v>918</v>
      </c>
      <c r="D364" s="195" t="s">
        <v>921</v>
      </c>
      <c r="E364" s="195" t="s">
        <v>332</v>
      </c>
      <c r="F364" s="197" t="s">
        <v>922</v>
      </c>
      <c r="G364" s="198" t="s">
        <v>81</v>
      </c>
      <c r="H364" s="199">
        <v>28300000</v>
      </c>
      <c r="I364" s="200"/>
      <c r="J364" s="196" t="s">
        <v>854</v>
      </c>
      <c r="K364" s="199"/>
      <c r="L364" s="201"/>
      <c r="M364" s="202"/>
      <c r="N364" s="203"/>
      <c r="O364" s="196"/>
      <c r="P364" s="196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6">
        <v>345</v>
      </c>
      <c r="B365" s="195" t="s">
        <v>76</v>
      </c>
      <c r="C365" s="195" t="s">
        <v>486</v>
      </c>
      <c r="D365" s="195" t="s">
        <v>923</v>
      </c>
      <c r="E365" s="195" t="s">
        <v>79</v>
      </c>
      <c r="F365" s="197" t="s">
        <v>909</v>
      </c>
      <c r="G365" s="198" t="s">
        <v>81</v>
      </c>
      <c r="H365" s="199">
        <v>100000000</v>
      </c>
      <c r="I365" s="200"/>
      <c r="J365" s="196" t="s">
        <v>924</v>
      </c>
      <c r="K365" s="199"/>
      <c r="L365" s="201"/>
      <c r="M365" s="202"/>
      <c r="N365" s="203"/>
      <c r="O365" s="196"/>
      <c r="P365" s="196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6">
        <v>346</v>
      </c>
      <c r="B366" s="195" t="s">
        <v>356</v>
      </c>
      <c r="C366" s="195" t="s">
        <v>925</v>
      </c>
      <c r="D366" s="195" t="s">
        <v>926</v>
      </c>
      <c r="E366" s="195" t="s">
        <v>79</v>
      </c>
      <c r="F366" s="197" t="s">
        <v>433</v>
      </c>
      <c r="G366" s="198" t="s">
        <v>81</v>
      </c>
      <c r="H366" s="199">
        <v>13002500</v>
      </c>
      <c r="I366" s="200"/>
      <c r="J366" s="196"/>
      <c r="K366" s="199"/>
      <c r="L366" s="201"/>
      <c r="M366" s="202"/>
      <c r="N366" s="203"/>
      <c r="O366" s="196"/>
      <c r="P366" s="196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6">
        <v>345</v>
      </c>
      <c r="B367" s="195" t="s">
        <v>130</v>
      </c>
      <c r="C367" s="195" t="s">
        <v>927</v>
      </c>
      <c r="D367" s="195" t="s">
        <v>928</v>
      </c>
      <c r="E367" s="195" t="s">
        <v>79</v>
      </c>
      <c r="F367" s="197" t="s">
        <v>882</v>
      </c>
      <c r="G367" s="198" t="s">
        <v>81</v>
      </c>
      <c r="H367" s="199">
        <v>350000</v>
      </c>
      <c r="I367" s="200"/>
      <c r="J367" s="196"/>
      <c r="K367" s="199"/>
      <c r="L367" s="201"/>
      <c r="M367" s="202"/>
      <c r="N367" s="203"/>
      <c r="O367" s="196"/>
      <c r="P367" s="196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6">
        <v>346</v>
      </c>
      <c r="B368" s="195" t="s">
        <v>525</v>
      </c>
      <c r="C368" s="195" t="s">
        <v>929</v>
      </c>
      <c r="D368" s="195" t="s">
        <v>930</v>
      </c>
      <c r="E368" s="195" t="s">
        <v>550</v>
      </c>
      <c r="F368" s="196" t="s">
        <v>780</v>
      </c>
      <c r="G368" s="198" t="s">
        <v>81</v>
      </c>
      <c r="H368" s="199">
        <v>119000000</v>
      </c>
      <c r="I368" s="200"/>
      <c r="J368" s="196" t="s">
        <v>931</v>
      </c>
      <c r="K368" s="199"/>
      <c r="L368" s="201"/>
      <c r="M368" s="202"/>
      <c r="N368" s="203"/>
      <c r="O368" s="196"/>
      <c r="P368" s="196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6">
        <v>347</v>
      </c>
      <c r="B369" s="195" t="s">
        <v>130</v>
      </c>
      <c r="C369" s="195" t="s">
        <v>508</v>
      </c>
      <c r="D369" s="195" t="s">
        <v>932</v>
      </c>
      <c r="E369" s="195" t="s">
        <v>79</v>
      </c>
      <c r="F369" s="197" t="s">
        <v>655</v>
      </c>
      <c r="G369" s="198" t="s">
        <v>81</v>
      </c>
      <c r="H369" s="199">
        <v>0</v>
      </c>
      <c r="I369" s="200"/>
      <c r="J369" s="196" t="s">
        <v>933</v>
      </c>
      <c r="K369" s="199"/>
      <c r="L369" s="201"/>
      <c r="M369" s="202"/>
      <c r="N369" s="203"/>
      <c r="O369" s="196"/>
      <c r="P369" s="196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6">
        <v>348</v>
      </c>
      <c r="B370" s="195" t="s">
        <v>91</v>
      </c>
      <c r="C370" s="195" t="s">
        <v>934</v>
      </c>
      <c r="D370" s="195" t="s">
        <v>935</v>
      </c>
      <c r="E370" s="195" t="s">
        <v>79</v>
      </c>
      <c r="F370" s="197" t="s">
        <v>711</v>
      </c>
      <c r="G370" s="198" t="s">
        <v>81</v>
      </c>
      <c r="H370" s="199">
        <v>0</v>
      </c>
      <c r="I370" s="200"/>
      <c r="J370" s="196" t="s">
        <v>936</v>
      </c>
      <c r="K370" s="199"/>
      <c r="L370" s="201"/>
      <c r="M370" s="202"/>
      <c r="N370" s="203"/>
      <c r="O370" s="196"/>
      <c r="P370" s="196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6">
        <v>349</v>
      </c>
      <c r="B371" s="195" t="s">
        <v>91</v>
      </c>
      <c r="C371" s="195" t="s">
        <v>937</v>
      </c>
      <c r="D371" s="195" t="s">
        <v>938</v>
      </c>
      <c r="E371" s="195" t="s">
        <v>79</v>
      </c>
      <c r="F371" s="197" t="s">
        <v>711</v>
      </c>
      <c r="G371" s="198" t="s">
        <v>81</v>
      </c>
      <c r="H371" s="199">
        <v>24000000</v>
      </c>
      <c r="I371" s="200"/>
      <c r="J371" s="196"/>
      <c r="K371" s="199"/>
      <c r="L371" s="201"/>
      <c r="M371" s="202"/>
      <c r="N371" s="203"/>
      <c r="O371" s="196"/>
      <c r="P371" s="196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6">
        <v>350</v>
      </c>
      <c r="B372" s="195" t="s">
        <v>91</v>
      </c>
      <c r="C372" s="195" t="s">
        <v>937</v>
      </c>
      <c r="D372" s="195" t="s">
        <v>939</v>
      </c>
      <c r="E372" s="195" t="s">
        <v>550</v>
      </c>
      <c r="F372" s="197" t="s">
        <v>940</v>
      </c>
      <c r="G372" s="198" t="s">
        <v>81</v>
      </c>
      <c r="H372" s="199">
        <v>40000000</v>
      </c>
      <c r="I372" s="200"/>
      <c r="J372" s="196"/>
      <c r="K372" s="199"/>
      <c r="L372" s="201"/>
      <c r="M372" s="202"/>
      <c r="N372" s="203"/>
      <c r="O372" s="196"/>
      <c r="P372" s="196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6">
        <v>351</v>
      </c>
      <c r="B373" s="195" t="s">
        <v>666</v>
      </c>
      <c r="C373" s="195" t="s">
        <v>941</v>
      </c>
      <c r="D373" s="195" t="s">
        <v>942</v>
      </c>
      <c r="E373" s="195" t="s">
        <v>79</v>
      </c>
      <c r="F373" s="197" t="s">
        <v>943</v>
      </c>
      <c r="G373" s="198" t="s">
        <v>81</v>
      </c>
      <c r="H373" s="199">
        <v>130000000</v>
      </c>
      <c r="I373" s="200"/>
      <c r="J373" s="196" t="s">
        <v>944</v>
      </c>
      <c r="K373" s="199" t="s">
        <v>945</v>
      </c>
      <c r="L373" s="201"/>
      <c r="M373" s="202"/>
      <c r="N373" s="203"/>
      <c r="O373" s="196"/>
      <c r="P373" s="196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6">
        <v>352</v>
      </c>
      <c r="B374" s="195" t="s">
        <v>130</v>
      </c>
      <c r="C374" s="195" t="s">
        <v>927</v>
      </c>
      <c r="D374" s="195" t="s">
        <v>928</v>
      </c>
      <c r="E374" s="195" t="s">
        <v>79</v>
      </c>
      <c r="F374" s="197" t="s">
        <v>797</v>
      </c>
      <c r="G374" s="198" t="s">
        <v>81</v>
      </c>
      <c r="H374" s="199">
        <v>180000</v>
      </c>
      <c r="I374" s="200"/>
      <c r="J374" s="196"/>
      <c r="K374" s="199"/>
      <c r="L374" s="201"/>
      <c r="M374" s="202"/>
      <c r="N374" s="203"/>
      <c r="O374" s="196"/>
      <c r="P374" s="196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6">
        <v>353</v>
      </c>
      <c r="B375" s="195" t="s">
        <v>361</v>
      </c>
      <c r="C375" s="195" t="s">
        <v>947</v>
      </c>
      <c r="D375" s="195" t="s">
        <v>948</v>
      </c>
      <c r="E375" s="195" t="s">
        <v>79</v>
      </c>
      <c r="F375" s="197" t="s">
        <v>949</v>
      </c>
      <c r="G375" s="198" t="s">
        <v>81</v>
      </c>
      <c r="H375" s="199">
        <v>1804245</v>
      </c>
      <c r="I375" s="200"/>
      <c r="J375" s="196"/>
      <c r="K375" s="199"/>
      <c r="L375" s="201"/>
      <c r="M375" s="202"/>
      <c r="N375" s="203"/>
      <c r="O375" s="196"/>
      <c r="P375" s="196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6">
        <v>354</v>
      </c>
      <c r="B376" s="195" t="s">
        <v>361</v>
      </c>
      <c r="C376" s="195" t="s">
        <v>950</v>
      </c>
      <c r="D376" s="195" t="s">
        <v>951</v>
      </c>
      <c r="E376" s="195" t="s">
        <v>79</v>
      </c>
      <c r="F376" s="197" t="s">
        <v>949</v>
      </c>
      <c r="G376" s="198" t="s">
        <v>81</v>
      </c>
      <c r="H376" s="199">
        <v>230000</v>
      </c>
      <c r="I376" s="200"/>
      <c r="J376" s="196"/>
      <c r="K376" s="199"/>
      <c r="L376" s="201"/>
      <c r="M376" s="202"/>
      <c r="N376" s="203"/>
      <c r="O376" s="196"/>
      <c r="P376" s="196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6">
        <v>355</v>
      </c>
      <c r="B377" s="195" t="s">
        <v>361</v>
      </c>
      <c r="C377" s="195" t="s">
        <v>635</v>
      </c>
      <c r="D377" s="195" t="s">
        <v>952</v>
      </c>
      <c r="E377" s="195" t="s">
        <v>79</v>
      </c>
      <c r="F377" s="197" t="s">
        <v>949</v>
      </c>
      <c r="G377" s="198" t="s">
        <v>81</v>
      </c>
      <c r="H377" s="199">
        <v>300000</v>
      </c>
      <c r="I377" s="200"/>
      <c r="J377" s="196" t="s">
        <v>953</v>
      </c>
      <c r="K377" s="204" t="s">
        <v>954</v>
      </c>
      <c r="L377" s="201"/>
      <c r="M377" s="202"/>
      <c r="N377" s="203"/>
      <c r="O377" s="196"/>
      <c r="P377" s="196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6">
        <v>356</v>
      </c>
      <c r="B378" s="195" t="s">
        <v>318</v>
      </c>
      <c r="C378" s="195" t="s">
        <v>635</v>
      </c>
      <c r="D378" s="195" t="s">
        <v>955</v>
      </c>
      <c r="E378" s="195" t="s">
        <v>79</v>
      </c>
      <c r="F378" s="197" t="s">
        <v>949</v>
      </c>
      <c r="G378" s="198" t="s">
        <v>81</v>
      </c>
      <c r="H378" s="199">
        <v>100000</v>
      </c>
      <c r="I378" s="200"/>
      <c r="J378" s="196" t="s">
        <v>956</v>
      </c>
      <c r="K378" s="199"/>
      <c r="L378" s="201"/>
      <c r="M378" s="202"/>
      <c r="N378" s="203"/>
      <c r="O378" s="196"/>
      <c r="P378" s="196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6">
        <v>357</v>
      </c>
      <c r="B379" s="195" t="s">
        <v>361</v>
      </c>
      <c r="C379" s="195" t="s">
        <v>957</v>
      </c>
      <c r="D379" s="195" t="s">
        <v>958</v>
      </c>
      <c r="E379" s="195" t="s">
        <v>79</v>
      </c>
      <c r="F379" s="197" t="s">
        <v>949</v>
      </c>
      <c r="G379" s="198" t="s">
        <v>81</v>
      </c>
      <c r="H379" s="199">
        <v>180000</v>
      </c>
      <c r="I379" s="200"/>
      <c r="J379" s="196"/>
      <c r="K379" s="199"/>
      <c r="L379" s="201"/>
      <c r="M379" s="202"/>
      <c r="N379" s="203"/>
      <c r="O379" s="196"/>
      <c r="P379" s="196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6">
        <v>358</v>
      </c>
      <c r="B380" s="195" t="s">
        <v>361</v>
      </c>
      <c r="C380" s="195" t="s">
        <v>540</v>
      </c>
      <c r="D380" s="195" t="s">
        <v>959</v>
      </c>
      <c r="E380" s="195" t="s">
        <v>79</v>
      </c>
      <c r="F380" s="197" t="s">
        <v>18</v>
      </c>
      <c r="G380" s="198" t="s">
        <v>81</v>
      </c>
      <c r="H380" s="199">
        <v>15001500</v>
      </c>
      <c r="I380" s="200"/>
      <c r="J380" s="196" t="s">
        <v>960</v>
      </c>
      <c r="K380" s="199"/>
      <c r="L380" s="201"/>
      <c r="M380" s="202"/>
      <c r="N380" s="203"/>
      <c r="O380" s="196"/>
      <c r="P380" s="196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6">
        <v>359</v>
      </c>
      <c r="B381" s="195" t="s">
        <v>525</v>
      </c>
      <c r="C381" s="195" t="s">
        <v>961</v>
      </c>
      <c r="D381" s="195" t="s">
        <v>962</v>
      </c>
      <c r="E381" s="195" t="s">
        <v>79</v>
      </c>
      <c r="F381" s="197" t="s">
        <v>18</v>
      </c>
      <c r="G381" s="198" t="s">
        <v>81</v>
      </c>
      <c r="H381" s="199">
        <v>10001000</v>
      </c>
      <c r="I381" s="200"/>
      <c r="J381" s="196" t="s">
        <v>963</v>
      </c>
      <c r="K381" s="199"/>
      <c r="L381" s="201"/>
      <c r="M381" s="202"/>
      <c r="N381" s="203"/>
      <c r="O381" s="196"/>
      <c r="P381" s="196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6">
        <v>340</v>
      </c>
      <c r="B382" s="195" t="s">
        <v>318</v>
      </c>
      <c r="C382" s="195" t="s">
        <v>964</v>
      </c>
      <c r="D382" s="195" t="s">
        <v>965</v>
      </c>
      <c r="E382" s="195" t="s">
        <v>79</v>
      </c>
      <c r="F382" s="197"/>
      <c r="G382" s="198"/>
      <c r="H382" s="199"/>
      <c r="I382" s="200"/>
      <c r="J382" s="196" t="s">
        <v>966</v>
      </c>
      <c r="K382" s="199" t="s">
        <v>967</v>
      </c>
      <c r="L382" s="205" t="s">
        <v>968</v>
      </c>
      <c r="M382" s="202"/>
      <c r="N382" s="203"/>
      <c r="O382" s="196"/>
      <c r="P382" s="196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6">
        <v>341</v>
      </c>
      <c r="B383" s="195" t="s">
        <v>525</v>
      </c>
      <c r="C383" s="195" t="s">
        <v>969</v>
      </c>
      <c r="D383" s="195" t="s">
        <v>970</v>
      </c>
      <c r="E383" s="195"/>
      <c r="F383" s="197"/>
      <c r="G383" s="198"/>
      <c r="H383" s="199"/>
      <c r="I383" s="200"/>
      <c r="J383" s="196" t="s">
        <v>971</v>
      </c>
      <c r="K383" s="199"/>
      <c r="L383" s="205" t="s">
        <v>972</v>
      </c>
      <c r="M383" s="202" t="s">
        <v>973</v>
      </c>
      <c r="N383" s="203"/>
      <c r="O383" s="196"/>
      <c r="P383" s="196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6">
        <v>342</v>
      </c>
      <c r="B384" s="195" t="s">
        <v>130</v>
      </c>
      <c r="C384" s="195" t="s">
        <v>672</v>
      </c>
      <c r="D384" s="195" t="s">
        <v>974</v>
      </c>
      <c r="E384" s="195" t="s">
        <v>79</v>
      </c>
      <c r="F384" s="197" t="s">
        <v>975</v>
      </c>
      <c r="G384" s="198" t="s">
        <v>81</v>
      </c>
      <c r="H384" s="199">
        <v>520000</v>
      </c>
      <c r="I384" s="200"/>
      <c r="J384" s="196"/>
      <c r="K384" s="199"/>
      <c r="L384" s="201"/>
      <c r="M384" s="202"/>
      <c r="N384" s="203"/>
      <c r="O384" s="196"/>
      <c r="P384" s="196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6">
        <v>343</v>
      </c>
      <c r="B385" s="195" t="s">
        <v>130</v>
      </c>
      <c r="C385" s="195" t="s">
        <v>976</v>
      </c>
      <c r="D385" s="195" t="s">
        <v>977</v>
      </c>
      <c r="E385" s="195" t="s">
        <v>79</v>
      </c>
      <c r="F385" s="197" t="s">
        <v>978</v>
      </c>
      <c r="G385" s="198" t="s">
        <v>81</v>
      </c>
      <c r="H385" s="199">
        <v>410000</v>
      </c>
      <c r="I385" s="200"/>
      <c r="J385" s="196"/>
      <c r="K385" s="199"/>
      <c r="L385" s="201"/>
      <c r="M385" s="202"/>
      <c r="N385" s="203"/>
      <c r="O385" s="196"/>
      <c r="P385" s="196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6">
        <v>344</v>
      </c>
      <c r="B386" s="195" t="s">
        <v>91</v>
      </c>
      <c r="C386" s="195" t="s">
        <v>979</v>
      </c>
      <c r="D386" s="195" t="s">
        <v>980</v>
      </c>
      <c r="E386" s="195" t="s">
        <v>79</v>
      </c>
      <c r="F386" s="197" t="s">
        <v>978</v>
      </c>
      <c r="G386" s="198" t="s">
        <v>81</v>
      </c>
      <c r="H386" s="199">
        <v>502000</v>
      </c>
      <c r="I386" s="200"/>
      <c r="J386" s="196"/>
      <c r="K386" s="199"/>
      <c r="L386" s="201"/>
      <c r="M386" s="202"/>
      <c r="N386" s="203"/>
      <c r="O386" s="196"/>
      <c r="P386" s="196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6">
        <v>345</v>
      </c>
      <c r="B387" s="195" t="s">
        <v>91</v>
      </c>
      <c r="C387" s="195" t="s">
        <v>981</v>
      </c>
      <c r="D387" s="195" t="s">
        <v>982</v>
      </c>
      <c r="E387" s="195" t="s">
        <v>79</v>
      </c>
      <c r="F387" s="197" t="s">
        <v>978</v>
      </c>
      <c r="G387" s="198" t="s">
        <v>81</v>
      </c>
      <c r="H387" s="199">
        <v>400000</v>
      </c>
      <c r="I387" s="200"/>
      <c r="J387" s="196"/>
      <c r="K387" s="199"/>
      <c r="L387" s="201"/>
      <c r="M387" s="202"/>
      <c r="N387" s="203"/>
      <c r="O387" s="196"/>
      <c r="P387" s="196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6">
        <v>346</v>
      </c>
      <c r="B388" s="195" t="s">
        <v>983</v>
      </c>
      <c r="C388" s="195" t="s">
        <v>984</v>
      </c>
      <c r="D388" s="195" t="s">
        <v>985</v>
      </c>
      <c r="E388" s="195" t="s">
        <v>332</v>
      </c>
      <c r="F388" s="197" t="s">
        <v>986</v>
      </c>
      <c r="G388" s="198" t="s">
        <v>81</v>
      </c>
      <c r="H388" s="199">
        <v>44700000</v>
      </c>
      <c r="I388" s="200"/>
      <c r="J388" s="196" t="s">
        <v>987</v>
      </c>
      <c r="K388" s="199"/>
      <c r="L388" s="201"/>
      <c r="M388" s="202"/>
      <c r="N388" s="203"/>
      <c r="O388" s="196"/>
      <c r="P388" s="196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6">
        <v>347</v>
      </c>
      <c r="B389" s="195" t="s">
        <v>983</v>
      </c>
      <c r="C389" s="195" t="s">
        <v>984</v>
      </c>
      <c r="D389" s="195" t="s">
        <v>989</v>
      </c>
      <c r="E389" s="195" t="s">
        <v>332</v>
      </c>
      <c r="F389" s="197" t="s">
        <v>990</v>
      </c>
      <c r="G389" s="198" t="s">
        <v>81</v>
      </c>
      <c r="H389" s="199">
        <v>21000000</v>
      </c>
      <c r="I389" s="200"/>
      <c r="J389" s="196" t="s">
        <v>991</v>
      </c>
      <c r="K389" s="199"/>
      <c r="L389" s="201"/>
      <c r="M389" s="202"/>
      <c r="N389" s="203"/>
      <c r="O389" s="196"/>
      <c r="P389" s="196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6">
        <v>348</v>
      </c>
      <c r="B390" s="195" t="s">
        <v>983</v>
      </c>
      <c r="C390" s="195" t="s">
        <v>984</v>
      </c>
      <c r="D390" s="195" t="s">
        <v>992</v>
      </c>
      <c r="E390" s="195" t="s">
        <v>550</v>
      </c>
      <c r="F390" s="197" t="s">
        <v>993</v>
      </c>
      <c r="G390" s="198" t="s">
        <v>81</v>
      </c>
      <c r="H390" s="199">
        <v>146000000</v>
      </c>
      <c r="I390" s="200"/>
      <c r="J390" s="196"/>
      <c r="K390" s="199"/>
      <c r="L390" s="201"/>
      <c r="M390" s="202"/>
      <c r="N390" s="203"/>
      <c r="O390" s="196"/>
      <c r="P390" s="196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6">
        <v>349</v>
      </c>
      <c r="B391" s="195" t="s">
        <v>983</v>
      </c>
      <c r="C391" s="195" t="s">
        <v>984</v>
      </c>
      <c r="D391" s="195" t="s">
        <v>994</v>
      </c>
      <c r="E391" s="195" t="s">
        <v>550</v>
      </c>
      <c r="F391" s="197" t="s">
        <v>995</v>
      </c>
      <c r="G391" s="198" t="s">
        <v>81</v>
      </c>
      <c r="H391" s="199">
        <v>146000000</v>
      </c>
      <c r="I391" s="200"/>
      <c r="J391" s="196"/>
      <c r="K391" s="199"/>
      <c r="L391" s="201"/>
      <c r="M391" s="202"/>
      <c r="N391" s="203"/>
      <c r="O391" s="196"/>
      <c r="P391" s="196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6">
        <v>350</v>
      </c>
      <c r="B392" s="195" t="s">
        <v>983</v>
      </c>
      <c r="C392" s="195" t="s">
        <v>984</v>
      </c>
      <c r="D392" s="195" t="s">
        <v>996</v>
      </c>
      <c r="E392" s="195" t="s">
        <v>550</v>
      </c>
      <c r="F392" s="197" t="s">
        <v>997</v>
      </c>
      <c r="G392" s="198" t="s">
        <v>81</v>
      </c>
      <c r="H392" s="199">
        <v>146000000</v>
      </c>
      <c r="I392" s="200"/>
      <c r="J392" s="196"/>
      <c r="K392" s="199"/>
      <c r="L392" s="201"/>
      <c r="M392" s="202"/>
      <c r="N392" s="203"/>
      <c r="O392" s="196"/>
      <c r="P392" s="196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6">
        <v>351</v>
      </c>
      <c r="B393" s="195" t="s">
        <v>983</v>
      </c>
      <c r="C393" s="195" t="s">
        <v>984</v>
      </c>
      <c r="D393" s="195" t="s">
        <v>998</v>
      </c>
      <c r="E393" s="195" t="s">
        <v>550</v>
      </c>
      <c r="F393" s="197" t="s">
        <v>999</v>
      </c>
      <c r="G393" s="198" t="s">
        <v>81</v>
      </c>
      <c r="H393" s="199">
        <v>146000000</v>
      </c>
      <c r="I393" s="200"/>
      <c r="J393" s="196"/>
      <c r="K393" s="199"/>
      <c r="L393" s="201"/>
      <c r="M393" s="202"/>
      <c r="N393" s="203"/>
      <c r="O393" s="196"/>
      <c r="P393" s="196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6">
        <v>352</v>
      </c>
      <c r="B394" s="195" t="s">
        <v>91</v>
      </c>
      <c r="C394" s="195" t="s">
        <v>1000</v>
      </c>
      <c r="D394" s="195" t="s">
        <v>1001</v>
      </c>
      <c r="E394" s="195" t="s">
        <v>79</v>
      </c>
      <c r="F394" s="197" t="s">
        <v>1002</v>
      </c>
      <c r="G394" s="198" t="s">
        <v>81</v>
      </c>
      <c r="H394" s="199">
        <v>600000</v>
      </c>
      <c r="I394" s="200"/>
      <c r="J394" s="196"/>
      <c r="K394" s="199"/>
      <c r="L394" s="201"/>
      <c r="M394" s="202"/>
      <c r="N394" s="203"/>
      <c r="O394" s="196"/>
      <c r="P394" s="196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6">
        <v>353</v>
      </c>
      <c r="B395" s="195" t="s">
        <v>91</v>
      </c>
      <c r="C395" s="195" t="s">
        <v>1003</v>
      </c>
      <c r="D395" s="195" t="s">
        <v>1004</v>
      </c>
      <c r="E395" s="195" t="s">
        <v>79</v>
      </c>
      <c r="F395" s="197" t="s">
        <v>856</v>
      </c>
      <c r="G395" s="198" t="s">
        <v>81</v>
      </c>
      <c r="H395" s="199">
        <v>1000300</v>
      </c>
      <c r="I395" s="200"/>
      <c r="J395" s="196" t="s">
        <v>963</v>
      </c>
      <c r="K395" s="199"/>
      <c r="L395" s="201"/>
      <c r="M395" s="202"/>
      <c r="N395" s="203"/>
      <c r="O395" s="196"/>
      <c r="P395" s="196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6">
        <v>356</v>
      </c>
      <c r="B396" s="195" t="s">
        <v>1005</v>
      </c>
      <c r="C396" s="195" t="s">
        <v>1006</v>
      </c>
      <c r="D396" s="195" t="s">
        <v>1007</v>
      </c>
      <c r="E396" s="195" t="s">
        <v>550</v>
      </c>
      <c r="F396" s="197" t="s">
        <v>1008</v>
      </c>
      <c r="G396" s="198" t="s">
        <v>81</v>
      </c>
      <c r="H396" s="199">
        <v>100000000</v>
      </c>
      <c r="I396" s="200"/>
      <c r="J396" s="196"/>
      <c r="K396" s="199"/>
      <c r="L396" s="201"/>
      <c r="M396" s="202"/>
      <c r="N396" s="203"/>
      <c r="O396" s="196"/>
      <c r="P396" s="196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6">
        <v>357</v>
      </c>
      <c r="B397" s="195" t="s">
        <v>1005</v>
      </c>
      <c r="C397" s="195" t="s">
        <v>1006</v>
      </c>
      <c r="D397" s="195" t="s">
        <v>1009</v>
      </c>
      <c r="E397" s="195" t="s">
        <v>550</v>
      </c>
      <c r="F397" s="197" t="s">
        <v>1010</v>
      </c>
      <c r="G397" s="198" t="s">
        <v>81</v>
      </c>
      <c r="H397" s="199">
        <v>200000000</v>
      </c>
      <c r="I397" s="200"/>
      <c r="J397" s="196"/>
      <c r="K397" s="199"/>
      <c r="L397" s="201"/>
      <c r="M397" s="202"/>
      <c r="N397" s="203"/>
      <c r="O397" s="196"/>
      <c r="P397" s="196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6">
        <v>358</v>
      </c>
      <c r="B398" s="195" t="s">
        <v>1005</v>
      </c>
      <c r="C398" s="195" t="s">
        <v>1006</v>
      </c>
      <c r="D398" s="195" t="s">
        <v>1011</v>
      </c>
      <c r="E398" s="195" t="s">
        <v>550</v>
      </c>
      <c r="F398" s="197" t="s">
        <v>1012</v>
      </c>
      <c r="G398" s="198" t="s">
        <v>81</v>
      </c>
      <c r="H398" s="199">
        <v>200000000</v>
      </c>
      <c r="I398" s="200"/>
      <c r="J398" s="196"/>
      <c r="K398" s="199"/>
      <c r="L398" s="201"/>
      <c r="M398" s="202"/>
      <c r="N398" s="203"/>
      <c r="O398" s="196"/>
      <c r="P398" s="196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6">
        <v>359</v>
      </c>
      <c r="B399" s="195" t="s">
        <v>1005</v>
      </c>
      <c r="C399" s="195" t="s">
        <v>1006</v>
      </c>
      <c r="D399" s="195" t="s">
        <v>1013</v>
      </c>
      <c r="E399" s="195" t="s">
        <v>550</v>
      </c>
      <c r="F399" s="197" t="s">
        <v>1014</v>
      </c>
      <c r="G399" s="198" t="s">
        <v>81</v>
      </c>
      <c r="H399" s="199">
        <v>200000000</v>
      </c>
      <c r="I399" s="200"/>
      <c r="J399" s="196"/>
      <c r="K399" s="199"/>
      <c r="L399" s="201"/>
      <c r="M399" s="202"/>
      <c r="N399" s="203"/>
      <c r="O399" s="196"/>
      <c r="P399" s="196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6">
        <v>360</v>
      </c>
      <c r="B400" s="195" t="s">
        <v>1005</v>
      </c>
      <c r="C400" s="195" t="s">
        <v>1006</v>
      </c>
      <c r="D400" s="195" t="s">
        <v>1015</v>
      </c>
      <c r="E400" s="195" t="s">
        <v>550</v>
      </c>
      <c r="F400" s="197" t="s">
        <v>1016</v>
      </c>
      <c r="G400" s="198" t="s">
        <v>81</v>
      </c>
      <c r="H400" s="199">
        <v>200000000</v>
      </c>
      <c r="I400" s="200"/>
      <c r="J400" s="196"/>
      <c r="K400" s="199"/>
      <c r="L400" s="201"/>
      <c r="M400" s="202"/>
      <c r="N400" s="203"/>
      <c r="O400" s="196"/>
      <c r="P400" s="196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6">
        <v>361</v>
      </c>
      <c r="B401" s="195" t="s">
        <v>1005</v>
      </c>
      <c r="C401" s="195" t="s">
        <v>1006</v>
      </c>
      <c r="D401" s="195" t="s">
        <v>1017</v>
      </c>
      <c r="E401" s="195" t="s">
        <v>550</v>
      </c>
      <c r="F401" s="197" t="s">
        <v>1018</v>
      </c>
      <c r="G401" s="198" t="s">
        <v>81</v>
      </c>
      <c r="H401" s="199">
        <v>200000000</v>
      </c>
      <c r="I401" s="200"/>
      <c r="J401" s="196"/>
      <c r="K401" s="199"/>
      <c r="L401" s="201"/>
      <c r="M401" s="202"/>
      <c r="N401" s="203"/>
      <c r="O401" s="196"/>
      <c r="P401" s="196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6">
        <v>362</v>
      </c>
      <c r="B402" s="195" t="s">
        <v>427</v>
      </c>
      <c r="C402" s="195" t="s">
        <v>1019</v>
      </c>
      <c r="D402" s="195" t="s">
        <v>1020</v>
      </c>
      <c r="E402" s="195" t="s">
        <v>79</v>
      </c>
      <c r="F402" s="197" t="s">
        <v>1021</v>
      </c>
      <c r="G402" s="198" t="s">
        <v>81</v>
      </c>
      <c r="H402" s="199">
        <v>1605000</v>
      </c>
      <c r="I402" s="200"/>
      <c r="J402" s="196" t="s">
        <v>1022</v>
      </c>
      <c r="K402" s="199"/>
      <c r="L402" s="201"/>
      <c r="M402" s="202"/>
      <c r="N402" s="203"/>
      <c r="O402" s="196"/>
      <c r="P402" s="196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6">
        <v>363</v>
      </c>
      <c r="B403" s="195" t="s">
        <v>427</v>
      </c>
      <c r="C403" s="195" t="s">
        <v>1019</v>
      </c>
      <c r="D403" s="195" t="s">
        <v>1023</v>
      </c>
      <c r="E403" s="195" t="s">
        <v>79</v>
      </c>
      <c r="F403" s="197" t="s">
        <v>1021</v>
      </c>
      <c r="G403" s="198" t="s">
        <v>81</v>
      </c>
      <c r="H403" s="199">
        <v>1605000</v>
      </c>
      <c r="I403" s="200"/>
      <c r="J403" s="196"/>
      <c r="K403" s="199"/>
      <c r="L403" s="201"/>
      <c r="M403" s="202"/>
      <c r="N403" s="203"/>
      <c r="O403" s="196"/>
      <c r="P403" s="196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6">
        <v>364</v>
      </c>
      <c r="B404" s="195" t="s">
        <v>427</v>
      </c>
      <c r="C404" s="195" t="s">
        <v>1019</v>
      </c>
      <c r="D404" s="195" t="s">
        <v>1024</v>
      </c>
      <c r="E404" s="195" t="s">
        <v>79</v>
      </c>
      <c r="F404" s="197" t="s">
        <v>1021</v>
      </c>
      <c r="G404" s="198" t="s">
        <v>81</v>
      </c>
      <c r="H404" s="199">
        <v>2505000</v>
      </c>
      <c r="I404" s="200"/>
      <c r="J404" s="196"/>
      <c r="K404" s="199"/>
      <c r="L404" s="201"/>
      <c r="M404" s="202"/>
      <c r="N404" s="203"/>
      <c r="O404" s="196"/>
      <c r="P404" s="196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6">
        <v>365</v>
      </c>
      <c r="B405" s="195" t="s">
        <v>427</v>
      </c>
      <c r="C405" s="195" t="s">
        <v>1019</v>
      </c>
      <c r="D405" s="195" t="s">
        <v>1025</v>
      </c>
      <c r="E405" s="195" t="s">
        <v>79</v>
      </c>
      <c r="F405" s="197" t="s">
        <v>1021</v>
      </c>
      <c r="G405" s="198" t="s">
        <v>81</v>
      </c>
      <c r="H405" s="199">
        <v>1605000</v>
      </c>
      <c r="I405" s="200"/>
      <c r="J405" s="196"/>
      <c r="K405" s="199"/>
      <c r="L405" s="201"/>
      <c r="M405" s="202"/>
      <c r="N405" s="203"/>
      <c r="O405" s="196"/>
      <c r="P405" s="196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6">
        <v>366</v>
      </c>
      <c r="B406" s="195" t="s">
        <v>91</v>
      </c>
      <c r="C406" s="195" t="s">
        <v>1026</v>
      </c>
      <c r="D406" s="195" t="s">
        <v>1027</v>
      </c>
      <c r="E406" s="195" t="s">
        <v>332</v>
      </c>
      <c r="F406" s="197" t="s">
        <v>1028</v>
      </c>
      <c r="G406" s="198" t="s">
        <v>81</v>
      </c>
      <c r="H406" s="199">
        <v>34000000</v>
      </c>
      <c r="I406" s="200"/>
      <c r="J406" s="196" t="s">
        <v>1029</v>
      </c>
      <c r="K406" s="199"/>
      <c r="L406" s="201"/>
      <c r="M406" s="202"/>
      <c r="N406" s="203"/>
      <c r="O406" s="196"/>
      <c r="P406" s="196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6">
        <v>367</v>
      </c>
      <c r="B407" s="195" t="s">
        <v>256</v>
      </c>
      <c r="C407" s="195" t="s">
        <v>947</v>
      </c>
      <c r="D407" s="195" t="s">
        <v>1030</v>
      </c>
      <c r="E407" s="195" t="s">
        <v>79</v>
      </c>
      <c r="F407" s="197" t="s">
        <v>1031</v>
      </c>
      <c r="G407" s="198" t="s">
        <v>81</v>
      </c>
      <c r="H407" s="199">
        <v>30000</v>
      </c>
      <c r="I407" s="200"/>
      <c r="J407" s="196"/>
      <c r="K407" s="199"/>
      <c r="L407" s="201"/>
      <c r="M407" s="202"/>
      <c r="N407" s="203"/>
      <c r="O407" s="196"/>
      <c r="P407" s="196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6">
        <v>368</v>
      </c>
      <c r="B408" s="195" t="s">
        <v>256</v>
      </c>
      <c r="C408" s="195" t="s">
        <v>1032</v>
      </c>
      <c r="D408" s="195" t="s">
        <v>1033</v>
      </c>
      <c r="E408" s="195" t="s">
        <v>79</v>
      </c>
      <c r="F408" s="197" t="s">
        <v>1034</v>
      </c>
      <c r="G408" s="198" t="s">
        <v>81</v>
      </c>
      <c r="H408" s="199">
        <v>298000</v>
      </c>
      <c r="I408" s="200"/>
      <c r="J408" s="196"/>
      <c r="K408" s="199"/>
      <c r="L408" s="201"/>
      <c r="M408" s="202"/>
      <c r="N408" s="203"/>
      <c r="O408" s="196"/>
      <c r="P408" s="196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6">
        <v>369</v>
      </c>
      <c r="B409" s="195" t="s">
        <v>256</v>
      </c>
      <c r="C409" s="195" t="s">
        <v>1032</v>
      </c>
      <c r="D409" s="195" t="s">
        <v>1035</v>
      </c>
      <c r="E409" s="195" t="s">
        <v>79</v>
      </c>
      <c r="F409" s="197" t="s">
        <v>1031</v>
      </c>
      <c r="G409" s="198" t="s">
        <v>81</v>
      </c>
      <c r="H409" s="199">
        <v>180000</v>
      </c>
      <c r="I409" s="200"/>
      <c r="J409" s="196"/>
      <c r="K409" s="199"/>
      <c r="L409" s="201"/>
      <c r="M409" s="202"/>
      <c r="N409" s="203"/>
      <c r="O409" s="196"/>
      <c r="P409" s="196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6">
        <v>370</v>
      </c>
      <c r="B410" s="195" t="s">
        <v>91</v>
      </c>
      <c r="C410" s="195" t="s">
        <v>1036</v>
      </c>
      <c r="D410" s="195" t="s">
        <v>1037</v>
      </c>
      <c r="E410" s="195" t="s">
        <v>79</v>
      </c>
      <c r="F410" s="197" t="s">
        <v>1031</v>
      </c>
      <c r="G410" s="198" t="s">
        <v>81</v>
      </c>
      <c r="H410" s="199">
        <v>340000</v>
      </c>
      <c r="I410" s="200"/>
      <c r="J410" s="196"/>
      <c r="K410" s="199"/>
      <c r="L410" s="201"/>
      <c r="M410" s="202"/>
      <c r="N410" s="203"/>
      <c r="O410" s="196"/>
      <c r="P410" s="196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6">
        <v>371</v>
      </c>
      <c r="B411" s="195" t="s">
        <v>256</v>
      </c>
      <c r="C411" s="195" t="s">
        <v>1038</v>
      </c>
      <c r="D411" s="195" t="s">
        <v>1039</v>
      </c>
      <c r="E411" s="195" t="s">
        <v>79</v>
      </c>
      <c r="F411" s="197" t="s">
        <v>1031</v>
      </c>
      <c r="G411" s="198" t="s">
        <v>81</v>
      </c>
      <c r="H411" s="199">
        <v>1603000</v>
      </c>
      <c r="I411" s="200"/>
      <c r="J411" s="196" t="s">
        <v>1040</v>
      </c>
      <c r="K411" s="199"/>
      <c r="L411" s="201"/>
      <c r="M411" s="202"/>
      <c r="N411" s="203"/>
      <c r="O411" s="196"/>
      <c r="P411" s="196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6">
        <v>372</v>
      </c>
      <c r="B412" s="195" t="s">
        <v>256</v>
      </c>
      <c r="C412" s="195" t="s">
        <v>1038</v>
      </c>
      <c r="D412" s="195" t="s">
        <v>1041</v>
      </c>
      <c r="E412" s="195" t="s">
        <v>79</v>
      </c>
      <c r="F412" s="197" t="s">
        <v>1031</v>
      </c>
      <c r="G412" s="198" t="s">
        <v>81</v>
      </c>
      <c r="H412" s="199"/>
      <c r="I412" s="200"/>
      <c r="J412" s="196" t="s">
        <v>1042</v>
      </c>
      <c r="K412" s="199"/>
      <c r="L412" s="201"/>
      <c r="M412" s="202"/>
      <c r="N412" s="203"/>
      <c r="O412" s="196"/>
      <c r="P412" s="196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6">
        <v>373</v>
      </c>
      <c r="B413" s="195" t="s">
        <v>91</v>
      </c>
      <c r="C413" s="195" t="s">
        <v>1043</v>
      </c>
      <c r="D413" s="195" t="s">
        <v>1044</v>
      </c>
      <c r="E413" s="195" t="s">
        <v>79</v>
      </c>
      <c r="F413" s="197" t="s">
        <v>1034</v>
      </c>
      <c r="G413" s="198" t="s">
        <v>704</v>
      </c>
      <c r="H413" s="199">
        <v>100000</v>
      </c>
      <c r="I413" s="200"/>
      <c r="J413" s="196"/>
      <c r="K413" s="199"/>
      <c r="L413" s="201"/>
      <c r="M413" s="202"/>
      <c r="N413" s="203"/>
      <c r="O413" s="196"/>
      <c r="P413" s="196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6">
        <v>374</v>
      </c>
      <c r="B414" s="195" t="s">
        <v>256</v>
      </c>
      <c r="C414" s="195" t="s">
        <v>217</v>
      </c>
      <c r="D414" s="195" t="s">
        <v>1045</v>
      </c>
      <c r="E414" s="195" t="s">
        <v>79</v>
      </c>
      <c r="F414" s="197" t="s">
        <v>1046</v>
      </c>
      <c r="G414" s="198" t="s">
        <v>81</v>
      </c>
      <c r="H414" s="199">
        <v>43000</v>
      </c>
      <c r="I414" s="200"/>
      <c r="J414" s="196"/>
      <c r="K414" s="199"/>
      <c r="L414" s="201"/>
      <c r="M414" s="202"/>
      <c r="N414" s="203"/>
      <c r="O414" s="196"/>
      <c r="P414" s="196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6">
        <v>375</v>
      </c>
      <c r="B415" s="195" t="s">
        <v>256</v>
      </c>
      <c r="C415" s="195" t="s">
        <v>217</v>
      </c>
      <c r="D415" s="195" t="s">
        <v>1047</v>
      </c>
      <c r="E415" s="195" t="s">
        <v>79</v>
      </c>
      <c r="F415" s="197" t="s">
        <v>1046</v>
      </c>
      <c r="G415" s="198" t="s">
        <v>81</v>
      </c>
      <c r="H415" s="199">
        <v>419000</v>
      </c>
      <c r="I415" s="200"/>
      <c r="J415" s="196"/>
      <c r="K415" s="199"/>
      <c r="L415" s="201"/>
      <c r="M415" s="202"/>
      <c r="N415" s="203"/>
      <c r="O415" s="196"/>
      <c r="P415" s="196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6">
        <v>376</v>
      </c>
      <c r="B416" s="195" t="s">
        <v>256</v>
      </c>
      <c r="C416" s="195" t="s">
        <v>217</v>
      </c>
      <c r="D416" s="195" t="s">
        <v>1048</v>
      </c>
      <c r="E416" s="195" t="s">
        <v>79</v>
      </c>
      <c r="F416" s="197" t="s">
        <v>1046</v>
      </c>
      <c r="G416" s="198" t="s">
        <v>81</v>
      </c>
      <c r="H416" s="199">
        <v>165000</v>
      </c>
      <c r="I416" s="200"/>
      <c r="J416" s="196"/>
      <c r="K416" s="199"/>
      <c r="L416" s="201"/>
      <c r="M416" s="202"/>
      <c r="N416" s="203"/>
      <c r="O416" s="196"/>
      <c r="P416" s="196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6">
        <v>377</v>
      </c>
      <c r="B417" s="195" t="s">
        <v>256</v>
      </c>
      <c r="C417" s="195" t="s">
        <v>217</v>
      </c>
      <c r="D417" s="195" t="s">
        <v>1049</v>
      </c>
      <c r="E417" s="195" t="s">
        <v>79</v>
      </c>
      <c r="F417" s="197" t="s">
        <v>1046</v>
      </c>
      <c r="G417" s="198" t="s">
        <v>81</v>
      </c>
      <c r="H417" s="199">
        <v>149000</v>
      </c>
      <c r="I417" s="200"/>
      <c r="J417" s="196"/>
      <c r="K417" s="199"/>
      <c r="L417" s="201"/>
      <c r="M417" s="202"/>
      <c r="N417" s="203"/>
      <c r="O417" s="196"/>
      <c r="P417" s="196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6">
        <v>378</v>
      </c>
      <c r="B418" s="195" t="s">
        <v>256</v>
      </c>
      <c r="C418" s="195" t="s">
        <v>1038</v>
      </c>
      <c r="D418" s="195" t="s">
        <v>1050</v>
      </c>
      <c r="E418" s="195" t="s">
        <v>79</v>
      </c>
      <c r="F418" s="197" t="s">
        <v>1046</v>
      </c>
      <c r="G418" s="198" t="s">
        <v>81</v>
      </c>
      <c r="H418" s="199"/>
      <c r="I418" s="200"/>
      <c r="J418" s="196" t="s">
        <v>1051</v>
      </c>
      <c r="K418" s="199"/>
      <c r="L418" s="201"/>
      <c r="M418" s="202"/>
      <c r="N418" s="203"/>
      <c r="O418" s="196"/>
      <c r="P418" s="196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6">
        <v>379</v>
      </c>
      <c r="B419" s="195" t="s">
        <v>256</v>
      </c>
      <c r="C419" s="195" t="s">
        <v>1038</v>
      </c>
      <c r="D419" s="195" t="s">
        <v>1052</v>
      </c>
      <c r="E419" s="195" t="s">
        <v>79</v>
      </c>
      <c r="F419" s="197" t="s">
        <v>1046</v>
      </c>
      <c r="G419" s="198" t="s">
        <v>81</v>
      </c>
      <c r="H419" s="199">
        <v>3000000</v>
      </c>
      <c r="I419" s="200"/>
      <c r="J419" s="196" t="s">
        <v>1051</v>
      </c>
      <c r="K419" s="199"/>
      <c r="L419" s="201"/>
      <c r="M419" s="202"/>
      <c r="N419" s="203"/>
      <c r="O419" s="196"/>
      <c r="P419" s="196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6">
        <v>380</v>
      </c>
      <c r="B420" s="195" t="s">
        <v>256</v>
      </c>
      <c r="C420" s="195" t="s">
        <v>950</v>
      </c>
      <c r="D420" s="195" t="s">
        <v>1053</v>
      </c>
      <c r="E420" s="195" t="s">
        <v>79</v>
      </c>
      <c r="F420" s="197" t="s">
        <v>856</v>
      </c>
      <c r="G420" s="198" t="s">
        <v>81</v>
      </c>
      <c r="H420" s="199">
        <v>30000</v>
      </c>
      <c r="I420" s="200"/>
      <c r="J420" s="196"/>
      <c r="K420" s="199"/>
      <c r="L420" s="201"/>
      <c r="M420" s="202"/>
      <c r="N420" s="203"/>
      <c r="O420" s="196"/>
      <c r="P420" s="196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6">
        <v>381</v>
      </c>
      <c r="B421" s="195" t="s">
        <v>256</v>
      </c>
      <c r="C421" s="195" t="s">
        <v>1032</v>
      </c>
      <c r="D421" s="195" t="s">
        <v>1054</v>
      </c>
      <c r="E421" s="195" t="s">
        <v>79</v>
      </c>
      <c r="F421" s="197" t="s">
        <v>856</v>
      </c>
      <c r="G421" s="198" t="s">
        <v>81</v>
      </c>
      <c r="H421" s="199">
        <v>800400</v>
      </c>
      <c r="I421" s="200"/>
      <c r="J421" s="196"/>
      <c r="K421" s="199"/>
      <c r="L421" s="201"/>
      <c r="M421" s="202"/>
      <c r="N421" s="203"/>
      <c r="O421" s="196"/>
      <c r="P421" s="196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6">
        <v>382</v>
      </c>
      <c r="B422" s="195" t="s">
        <v>256</v>
      </c>
      <c r="C422" s="195" t="s">
        <v>223</v>
      </c>
      <c r="D422" s="195" t="s">
        <v>1055</v>
      </c>
      <c r="E422" s="195" t="s">
        <v>79</v>
      </c>
      <c r="F422" s="197" t="s">
        <v>856</v>
      </c>
      <c r="G422" s="198" t="s">
        <v>81</v>
      </c>
      <c r="H422" s="199">
        <v>3200640</v>
      </c>
      <c r="I422" s="200"/>
      <c r="J422" s="196" t="s">
        <v>1051</v>
      </c>
      <c r="K422" s="199"/>
      <c r="L422" s="201"/>
      <c r="M422" s="202"/>
      <c r="N422" s="203"/>
      <c r="O422" s="196"/>
      <c r="P422" s="196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6">
        <v>383</v>
      </c>
      <c r="B423" s="195" t="s">
        <v>256</v>
      </c>
      <c r="C423" s="195" t="s">
        <v>223</v>
      </c>
      <c r="D423" s="195" t="s">
        <v>1056</v>
      </c>
      <c r="E423" s="195" t="s">
        <v>79</v>
      </c>
      <c r="F423" s="197" t="s">
        <v>856</v>
      </c>
      <c r="G423" s="198" t="s">
        <v>81</v>
      </c>
      <c r="H423" s="199">
        <v>1400500</v>
      </c>
      <c r="I423" s="200"/>
      <c r="J423" s="196"/>
      <c r="K423" s="199"/>
      <c r="L423" s="201"/>
      <c r="M423" s="202"/>
      <c r="N423" s="203"/>
      <c r="O423" s="196"/>
      <c r="P423" s="196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6">
        <v>384</v>
      </c>
      <c r="B424" s="195" t="s">
        <v>91</v>
      </c>
      <c r="C424" s="195" t="s">
        <v>749</v>
      </c>
      <c r="D424" s="195" t="s">
        <v>1057</v>
      </c>
      <c r="E424" s="195" t="s">
        <v>79</v>
      </c>
      <c r="F424" s="197" t="s">
        <v>1058</v>
      </c>
      <c r="G424" s="198" t="s">
        <v>81</v>
      </c>
      <c r="H424" s="199">
        <v>3000000</v>
      </c>
      <c r="I424" s="200"/>
      <c r="J424" s="196" t="s">
        <v>1059</v>
      </c>
      <c r="K424" s="199"/>
      <c r="L424" s="201"/>
      <c r="M424" s="202"/>
      <c r="N424" s="203"/>
      <c r="O424" s="196"/>
      <c r="P424" s="196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6">
        <v>385</v>
      </c>
      <c r="B425" s="195" t="s">
        <v>427</v>
      </c>
      <c r="C425" s="195" t="s">
        <v>1019</v>
      </c>
      <c r="D425" s="195" t="s">
        <v>1060</v>
      </c>
      <c r="E425" s="195" t="s">
        <v>79</v>
      </c>
      <c r="F425" s="197" t="s">
        <v>65</v>
      </c>
      <c r="G425" s="198" t="s">
        <v>81</v>
      </c>
      <c r="H425" s="199">
        <v>2502500</v>
      </c>
      <c r="I425" s="200"/>
      <c r="J425" s="196"/>
      <c r="K425" s="199"/>
      <c r="L425" s="201"/>
      <c r="M425" s="202"/>
      <c r="N425" s="203"/>
      <c r="O425" s="196"/>
      <c r="P425" s="196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6">
        <v>386</v>
      </c>
      <c r="B426" s="195" t="s">
        <v>256</v>
      </c>
      <c r="C426" s="195" t="s">
        <v>217</v>
      </c>
      <c r="D426" s="195" t="s">
        <v>1061</v>
      </c>
      <c r="E426" s="195" t="s">
        <v>79</v>
      </c>
      <c r="F426" s="197" t="s">
        <v>65</v>
      </c>
      <c r="G426" s="198" t="s">
        <v>81</v>
      </c>
      <c r="H426" s="199">
        <v>203000</v>
      </c>
      <c r="I426" s="200"/>
      <c r="J426" s="196"/>
      <c r="K426" s="199"/>
      <c r="L426" s="201"/>
      <c r="M426" s="202"/>
      <c r="N426" s="203"/>
      <c r="O426" s="196"/>
      <c r="P426" s="196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6">
        <v>387</v>
      </c>
      <c r="B427" s="195" t="s">
        <v>256</v>
      </c>
      <c r="C427" s="195" t="s">
        <v>217</v>
      </c>
      <c r="D427" s="195" t="s">
        <v>1062</v>
      </c>
      <c r="E427" s="195" t="s">
        <v>79</v>
      </c>
      <c r="F427" s="197" t="s">
        <v>65</v>
      </c>
      <c r="G427" s="198" t="s">
        <v>81</v>
      </c>
      <c r="H427" s="199">
        <v>127400</v>
      </c>
      <c r="I427" s="200"/>
      <c r="J427" s="196"/>
      <c r="K427" s="199"/>
      <c r="L427" s="201"/>
      <c r="M427" s="202"/>
      <c r="N427" s="203"/>
      <c r="O427" s="196"/>
      <c r="P427" s="196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6">
        <v>388</v>
      </c>
      <c r="B428" s="195" t="s">
        <v>256</v>
      </c>
      <c r="C428" s="195" t="s">
        <v>217</v>
      </c>
      <c r="D428" s="195" t="s">
        <v>1063</v>
      </c>
      <c r="E428" s="195" t="s">
        <v>79</v>
      </c>
      <c r="F428" s="197" t="s">
        <v>65</v>
      </c>
      <c r="G428" s="198" t="s">
        <v>81</v>
      </c>
      <c r="H428" s="199">
        <v>135000</v>
      </c>
      <c r="I428" s="200"/>
      <c r="J428" s="196"/>
      <c r="K428" s="199"/>
      <c r="L428" s="201"/>
      <c r="M428" s="202"/>
      <c r="N428" s="203"/>
      <c r="O428" s="196"/>
      <c r="P428" s="196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6">
        <v>389</v>
      </c>
      <c r="B429" s="195" t="s">
        <v>91</v>
      </c>
      <c r="C429" s="195" t="s">
        <v>1064</v>
      </c>
      <c r="D429" s="195" t="s">
        <v>1065</v>
      </c>
      <c r="E429" s="195" t="s">
        <v>79</v>
      </c>
      <c r="F429" s="197" t="s">
        <v>65</v>
      </c>
      <c r="G429" s="198" t="s">
        <v>81</v>
      </c>
      <c r="H429" s="199">
        <v>450000</v>
      </c>
      <c r="I429" s="200"/>
      <c r="J429" s="196"/>
      <c r="K429" s="199"/>
      <c r="L429" s="201"/>
      <c r="M429" s="202"/>
      <c r="N429" s="203"/>
      <c r="O429" s="196"/>
      <c r="P429" s="196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6">
        <v>390</v>
      </c>
      <c r="B430" s="195" t="s">
        <v>256</v>
      </c>
      <c r="C430" s="195" t="s">
        <v>223</v>
      </c>
      <c r="D430" s="195" t="s">
        <v>1066</v>
      </c>
      <c r="E430" s="195" t="s">
        <v>79</v>
      </c>
      <c r="F430" s="197" t="s">
        <v>65</v>
      </c>
      <c r="G430" s="198" t="s">
        <v>81</v>
      </c>
      <c r="H430" s="199">
        <v>1600160</v>
      </c>
      <c r="I430" s="200"/>
      <c r="J430" s="196"/>
      <c r="K430" s="199"/>
      <c r="L430" s="201"/>
      <c r="M430" s="202"/>
      <c r="N430" s="203"/>
      <c r="O430" s="196"/>
      <c r="P430" s="196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6">
        <v>391</v>
      </c>
      <c r="B431" s="195" t="s">
        <v>256</v>
      </c>
      <c r="C431" s="195" t="s">
        <v>223</v>
      </c>
      <c r="D431" s="195" t="s">
        <v>1067</v>
      </c>
      <c r="E431" s="195" t="s">
        <v>79</v>
      </c>
      <c r="F431" s="197" t="s">
        <v>65</v>
      </c>
      <c r="G431" s="198" t="s">
        <v>81</v>
      </c>
      <c r="H431" s="199">
        <v>1500500</v>
      </c>
      <c r="I431" s="200"/>
      <c r="J431" s="196"/>
      <c r="K431" s="199"/>
      <c r="L431" s="201"/>
      <c r="M431" s="202"/>
      <c r="N431" s="203"/>
      <c r="O431" s="196"/>
      <c r="P431" s="196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6">
        <v>392</v>
      </c>
      <c r="B432" s="195" t="s">
        <v>356</v>
      </c>
      <c r="C432" s="195" t="s">
        <v>1068</v>
      </c>
      <c r="D432" s="195" t="s">
        <v>1069</v>
      </c>
      <c r="E432" s="195" t="s">
        <v>79</v>
      </c>
      <c r="F432" s="197" t="s">
        <v>1070</v>
      </c>
      <c r="G432" s="198" t="s">
        <v>81</v>
      </c>
      <c r="H432" s="199">
        <v>1000500</v>
      </c>
      <c r="I432" s="200"/>
      <c r="J432" s="196"/>
      <c r="K432" s="199"/>
      <c r="L432" s="201"/>
      <c r="M432" s="202"/>
      <c r="N432" s="203"/>
      <c r="O432" s="196"/>
      <c r="P432" s="196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6">
        <v>393</v>
      </c>
      <c r="B433" s="195" t="s">
        <v>256</v>
      </c>
      <c r="C433" s="195" t="s">
        <v>1032</v>
      </c>
      <c r="D433" s="195" t="s">
        <v>1071</v>
      </c>
      <c r="E433" s="195" t="s">
        <v>79</v>
      </c>
      <c r="F433" s="197" t="s">
        <v>1070</v>
      </c>
      <c r="G433" s="198" t="s">
        <v>81</v>
      </c>
      <c r="H433" s="199">
        <v>425000</v>
      </c>
      <c r="I433" s="200"/>
      <c r="J433" s="196"/>
      <c r="K433" s="199"/>
      <c r="L433" s="201"/>
      <c r="M433" s="202"/>
      <c r="N433" s="203"/>
      <c r="O433" s="196"/>
      <c r="P433" s="196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6">
        <v>394</v>
      </c>
      <c r="B434" s="195" t="s">
        <v>256</v>
      </c>
      <c r="C434" s="195" t="s">
        <v>1032</v>
      </c>
      <c r="D434" s="195" t="s">
        <v>1072</v>
      </c>
      <c r="E434" s="195" t="s">
        <v>79</v>
      </c>
      <c r="F434" s="197" t="s">
        <v>1070</v>
      </c>
      <c r="G434" s="198" t="s">
        <v>81</v>
      </c>
      <c r="H434" s="199">
        <v>44500</v>
      </c>
      <c r="I434" s="200"/>
      <c r="J434" s="196"/>
      <c r="K434" s="199"/>
      <c r="L434" s="201"/>
      <c r="M434" s="202"/>
      <c r="N434" s="203"/>
      <c r="O434" s="196"/>
      <c r="P434" s="196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6">
        <v>395</v>
      </c>
      <c r="B435" s="195" t="s">
        <v>256</v>
      </c>
      <c r="C435" s="195" t="s">
        <v>1032</v>
      </c>
      <c r="D435" s="195" t="s">
        <v>1049</v>
      </c>
      <c r="E435" s="195" t="s">
        <v>79</v>
      </c>
      <c r="F435" s="197" t="s">
        <v>1070</v>
      </c>
      <c r="G435" s="198" t="s">
        <v>81</v>
      </c>
      <c r="H435" s="199">
        <v>125550</v>
      </c>
      <c r="I435" s="200"/>
      <c r="J435" s="196"/>
      <c r="K435" s="199"/>
      <c r="L435" s="201"/>
      <c r="M435" s="202"/>
      <c r="N435" s="203"/>
      <c r="O435" s="196"/>
      <c r="P435" s="196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6">
        <v>396</v>
      </c>
      <c r="B436" s="195" t="s">
        <v>256</v>
      </c>
      <c r="C436" s="195" t="s">
        <v>223</v>
      </c>
      <c r="D436" s="195" t="s">
        <v>1073</v>
      </c>
      <c r="E436" s="195" t="s">
        <v>79</v>
      </c>
      <c r="F436" s="197" t="s">
        <v>1070</v>
      </c>
      <c r="G436" s="198" t="s">
        <v>81</v>
      </c>
      <c r="H436" s="199">
        <v>1400500</v>
      </c>
      <c r="I436" s="200"/>
      <c r="J436" s="196"/>
      <c r="K436" s="199"/>
      <c r="L436" s="201"/>
      <c r="M436" s="202"/>
      <c r="N436" s="203"/>
      <c r="O436" s="196"/>
      <c r="P436" s="196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6">
        <v>397</v>
      </c>
      <c r="B437" s="195" t="s">
        <v>256</v>
      </c>
      <c r="C437" s="195" t="s">
        <v>223</v>
      </c>
      <c r="D437" s="195" t="s">
        <v>1074</v>
      </c>
      <c r="E437" s="195" t="s">
        <v>79</v>
      </c>
      <c r="F437" s="197" t="s">
        <v>1070</v>
      </c>
      <c r="G437" s="198" t="s">
        <v>81</v>
      </c>
      <c r="H437" s="199">
        <v>1600500</v>
      </c>
      <c r="I437" s="200"/>
      <c r="J437" s="196"/>
      <c r="K437" s="199"/>
      <c r="L437" s="201"/>
      <c r="M437" s="202"/>
      <c r="N437" s="203"/>
      <c r="O437" s="196"/>
      <c r="P437" s="196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6">
        <v>398</v>
      </c>
      <c r="B438" s="195" t="s">
        <v>864</v>
      </c>
      <c r="C438" s="195" t="s">
        <v>914</v>
      </c>
      <c r="D438" s="195" t="s">
        <v>1075</v>
      </c>
      <c r="E438" s="195" t="s">
        <v>332</v>
      </c>
      <c r="F438" s="197" t="s">
        <v>1076</v>
      </c>
      <c r="G438" s="198" t="s">
        <v>81</v>
      </c>
      <c r="H438" s="199">
        <v>63000000</v>
      </c>
      <c r="I438" s="200"/>
      <c r="J438" s="196" t="s">
        <v>1077</v>
      </c>
      <c r="K438" s="199" t="s">
        <v>1078</v>
      </c>
      <c r="L438" s="201" t="s">
        <v>1079</v>
      </c>
      <c r="M438" s="202"/>
      <c r="N438" s="203"/>
      <c r="O438" s="196"/>
      <c r="P438" s="196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6">
        <v>399</v>
      </c>
      <c r="B439" s="195" t="s">
        <v>864</v>
      </c>
      <c r="C439" s="195" t="s">
        <v>914</v>
      </c>
      <c r="D439" s="195" t="s">
        <v>1080</v>
      </c>
      <c r="E439" s="195" t="s">
        <v>550</v>
      </c>
      <c r="F439" s="197" t="s">
        <v>1081</v>
      </c>
      <c r="G439" s="198" t="s">
        <v>81</v>
      </c>
      <c r="H439" s="199">
        <v>50000000</v>
      </c>
      <c r="I439" s="200"/>
      <c r="J439" s="196"/>
      <c r="K439" s="199"/>
      <c r="L439" s="201"/>
      <c r="M439" s="202"/>
      <c r="N439" s="203"/>
      <c r="O439" s="196"/>
      <c r="P439" s="196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6">
        <v>400</v>
      </c>
      <c r="B440" s="195" t="s">
        <v>91</v>
      </c>
      <c r="C440" s="195" t="s">
        <v>1082</v>
      </c>
      <c r="D440" s="195" t="s">
        <v>1083</v>
      </c>
      <c r="E440" s="195" t="s">
        <v>79</v>
      </c>
      <c r="F440" s="197" t="s">
        <v>1084</v>
      </c>
      <c r="G440" s="198" t="s">
        <v>81</v>
      </c>
      <c r="H440" s="199">
        <v>1115000</v>
      </c>
      <c r="I440" s="200"/>
      <c r="J440" s="196"/>
      <c r="K440" s="199"/>
      <c r="L440" s="201"/>
      <c r="M440" s="202"/>
      <c r="N440" s="203"/>
      <c r="O440" s="196"/>
      <c r="P440" s="196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6">
        <v>401</v>
      </c>
      <c r="B441" s="195" t="s">
        <v>91</v>
      </c>
      <c r="C441" s="195" t="s">
        <v>1085</v>
      </c>
      <c r="D441" s="195" t="s">
        <v>1086</v>
      </c>
      <c r="E441" s="195" t="s">
        <v>79</v>
      </c>
      <c r="F441" s="197" t="s">
        <v>1084</v>
      </c>
      <c r="G441" s="198" t="s">
        <v>81</v>
      </c>
      <c r="H441" s="199">
        <v>560500</v>
      </c>
      <c r="I441" s="200"/>
      <c r="J441" s="196"/>
      <c r="K441" s="199"/>
      <c r="L441" s="201"/>
      <c r="M441" s="202"/>
      <c r="N441" s="203"/>
      <c r="O441" s="196"/>
      <c r="P441" s="196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6">
        <v>402</v>
      </c>
      <c r="B442" s="195" t="s">
        <v>91</v>
      </c>
      <c r="C442" s="195" t="s">
        <v>1087</v>
      </c>
      <c r="D442" s="195" t="s">
        <v>1088</v>
      </c>
      <c r="E442" s="195" t="s">
        <v>79</v>
      </c>
      <c r="F442" s="197" t="s">
        <v>1084</v>
      </c>
      <c r="G442" s="198" t="s">
        <v>81</v>
      </c>
      <c r="H442" s="199">
        <v>506550</v>
      </c>
      <c r="I442" s="200"/>
      <c r="J442" s="196"/>
      <c r="K442" s="199"/>
      <c r="L442" s="201"/>
      <c r="M442" s="202"/>
      <c r="N442" s="203"/>
      <c r="O442" s="196"/>
      <c r="P442" s="196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6">
        <v>403</v>
      </c>
      <c r="B443" s="195" t="s">
        <v>427</v>
      </c>
      <c r="C443" s="195" t="s">
        <v>447</v>
      </c>
      <c r="D443" s="195" t="s">
        <v>812</v>
      </c>
      <c r="E443" s="195" t="s">
        <v>79</v>
      </c>
      <c r="F443" s="197" t="s">
        <v>61</v>
      </c>
      <c r="G443" s="198" t="s">
        <v>81</v>
      </c>
      <c r="H443" s="199">
        <v>1603000</v>
      </c>
      <c r="I443" s="200"/>
      <c r="J443" s="196"/>
      <c r="K443" s="199"/>
      <c r="L443" s="201"/>
      <c r="M443" s="202"/>
      <c r="N443" s="203"/>
      <c r="O443" s="196"/>
      <c r="P443" s="196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6">
        <v>404</v>
      </c>
      <c r="B444" s="195" t="s">
        <v>91</v>
      </c>
      <c r="C444" s="195" t="s">
        <v>186</v>
      </c>
      <c r="D444" s="195" t="s">
        <v>1089</v>
      </c>
      <c r="E444" s="195" t="s">
        <v>79</v>
      </c>
      <c r="F444" s="197" t="s">
        <v>1084</v>
      </c>
      <c r="G444" s="198" t="s">
        <v>81</v>
      </c>
      <c r="H444" s="199">
        <v>40000</v>
      </c>
      <c r="I444" s="200"/>
      <c r="J444" s="196"/>
      <c r="K444" s="199"/>
      <c r="L444" s="201"/>
      <c r="M444" s="202"/>
      <c r="N444" s="203"/>
      <c r="O444" s="196"/>
      <c r="P444" s="196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6">
        <v>405</v>
      </c>
      <c r="B445" s="195" t="s">
        <v>91</v>
      </c>
      <c r="C445" s="195" t="s">
        <v>1090</v>
      </c>
      <c r="D445" s="195" t="s">
        <v>1091</v>
      </c>
      <c r="E445" s="195" t="s">
        <v>79</v>
      </c>
      <c r="F445" s="197" t="s">
        <v>73</v>
      </c>
      <c r="G445" s="198" t="s">
        <v>81</v>
      </c>
      <c r="H445" s="199">
        <v>0</v>
      </c>
      <c r="I445" s="200"/>
      <c r="J445" s="196" t="s">
        <v>1092</v>
      </c>
      <c r="K445" s="199"/>
      <c r="L445" s="201"/>
      <c r="M445" s="202"/>
      <c r="N445" s="203"/>
      <c r="O445" s="196"/>
      <c r="P445" s="196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6">
        <v>406</v>
      </c>
      <c r="B446" s="195" t="s">
        <v>91</v>
      </c>
      <c r="C446" s="195" t="s">
        <v>823</v>
      </c>
      <c r="D446" s="195" t="s">
        <v>1093</v>
      </c>
      <c r="E446" s="195" t="s">
        <v>79</v>
      </c>
      <c r="F446" s="197" t="s">
        <v>73</v>
      </c>
      <c r="G446" s="198" t="s">
        <v>81</v>
      </c>
      <c r="H446" s="199">
        <v>75000</v>
      </c>
      <c r="I446" s="200"/>
      <c r="J446" s="196"/>
      <c r="K446" s="199"/>
      <c r="L446" s="201"/>
      <c r="M446" s="202"/>
      <c r="N446" s="203"/>
      <c r="O446" s="196"/>
      <c r="P446" s="196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6">
        <v>407</v>
      </c>
      <c r="B447" s="195" t="s">
        <v>91</v>
      </c>
      <c r="C447" s="195" t="s">
        <v>1094</v>
      </c>
      <c r="D447" s="195" t="s">
        <v>1095</v>
      </c>
      <c r="E447" s="195" t="s">
        <v>79</v>
      </c>
      <c r="F447" s="197" t="s">
        <v>73</v>
      </c>
      <c r="G447" s="198" t="s">
        <v>81</v>
      </c>
      <c r="H447" s="199">
        <v>120000</v>
      </c>
      <c r="I447" s="200"/>
      <c r="J447" s="196"/>
      <c r="K447" s="199"/>
      <c r="L447" s="201"/>
      <c r="M447" s="202"/>
      <c r="N447" s="203"/>
      <c r="O447" s="196"/>
      <c r="P447" s="196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6">
        <v>408</v>
      </c>
      <c r="B448" s="195" t="s">
        <v>91</v>
      </c>
      <c r="C448" s="195" t="s">
        <v>1096</v>
      </c>
      <c r="D448" s="195" t="s">
        <v>1097</v>
      </c>
      <c r="E448" s="195" t="s">
        <v>79</v>
      </c>
      <c r="F448" s="197" t="s">
        <v>73</v>
      </c>
      <c r="G448" s="198" t="s">
        <v>704</v>
      </c>
      <c r="H448" s="199">
        <v>182000</v>
      </c>
      <c r="I448" s="200"/>
      <c r="J448" s="196"/>
      <c r="K448" s="199"/>
      <c r="L448" s="201"/>
      <c r="M448" s="202"/>
      <c r="N448" s="203"/>
      <c r="O448" s="196"/>
      <c r="P448" s="196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6">
        <v>409</v>
      </c>
      <c r="B449" s="195" t="s">
        <v>91</v>
      </c>
      <c r="C449" s="195" t="s">
        <v>1098</v>
      </c>
      <c r="D449" s="195" t="s">
        <v>1099</v>
      </c>
      <c r="E449" s="195" t="s">
        <v>79</v>
      </c>
      <c r="F449" s="197" t="s">
        <v>853</v>
      </c>
      <c r="G449" s="198" t="s">
        <v>704</v>
      </c>
      <c r="H449" s="199">
        <v>30000</v>
      </c>
      <c r="I449" s="200"/>
      <c r="J449" s="196"/>
      <c r="K449" s="199"/>
      <c r="L449" s="201"/>
      <c r="M449" s="202"/>
      <c r="N449" s="203"/>
      <c r="O449" s="196"/>
      <c r="P449" s="196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6">
        <v>410</v>
      </c>
      <c r="B450" s="195" t="s">
        <v>256</v>
      </c>
      <c r="C450" s="195" t="s">
        <v>1032</v>
      </c>
      <c r="D450" s="195" t="s">
        <v>1100</v>
      </c>
      <c r="E450" s="195" t="s">
        <v>79</v>
      </c>
      <c r="F450" s="197" t="s">
        <v>1101</v>
      </c>
      <c r="G450" s="198" t="s">
        <v>81</v>
      </c>
      <c r="H450" s="199">
        <f>297000+320000</f>
        <v>617000</v>
      </c>
      <c r="I450" s="200"/>
      <c r="J450" s="196"/>
      <c r="K450" s="199"/>
      <c r="L450" s="201"/>
      <c r="M450" s="202"/>
      <c r="N450" s="203"/>
      <c r="O450" s="196"/>
      <c r="P450" s="196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6">
        <v>411</v>
      </c>
      <c r="B451" s="195" t="s">
        <v>256</v>
      </c>
      <c r="C451" s="195" t="s">
        <v>1032</v>
      </c>
      <c r="D451" s="195" t="s">
        <v>1102</v>
      </c>
      <c r="E451" s="195" t="s">
        <v>79</v>
      </c>
      <c r="F451" s="197" t="s">
        <v>1101</v>
      </c>
      <c r="G451" s="198" t="s">
        <v>81</v>
      </c>
      <c r="H451" s="199">
        <v>7800</v>
      </c>
      <c r="I451" s="200"/>
      <c r="J451" s="196"/>
      <c r="K451" s="199"/>
      <c r="L451" s="201"/>
      <c r="M451" s="202"/>
      <c r="N451" s="203"/>
      <c r="O451" s="196"/>
      <c r="P451" s="196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6">
        <v>412</v>
      </c>
      <c r="B452" s="195" t="s">
        <v>130</v>
      </c>
      <c r="C452" s="195" t="s">
        <v>1103</v>
      </c>
      <c r="D452" s="195" t="s">
        <v>1104</v>
      </c>
      <c r="E452" s="195" t="s">
        <v>79</v>
      </c>
      <c r="F452" s="197" t="s">
        <v>853</v>
      </c>
      <c r="G452" s="198" t="s">
        <v>81</v>
      </c>
      <c r="H452" s="199">
        <v>20000000</v>
      </c>
      <c r="I452" s="200"/>
      <c r="J452" s="196"/>
      <c r="K452" s="199"/>
      <c r="L452" s="201"/>
      <c r="M452" s="202"/>
      <c r="N452" s="203"/>
      <c r="O452" s="196"/>
      <c r="P452" s="196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6">
        <v>413</v>
      </c>
      <c r="B453" s="195" t="s">
        <v>130</v>
      </c>
      <c r="C453" s="195" t="s">
        <v>1105</v>
      </c>
      <c r="D453" s="195" t="s">
        <v>1106</v>
      </c>
      <c r="E453" s="195" t="s">
        <v>79</v>
      </c>
      <c r="F453" s="197" t="s">
        <v>853</v>
      </c>
      <c r="G453" s="198" t="s">
        <v>81</v>
      </c>
      <c r="H453" s="199">
        <v>20000000</v>
      </c>
      <c r="I453" s="200"/>
      <c r="J453" s="196"/>
      <c r="K453" s="199"/>
      <c r="L453" s="201"/>
      <c r="M453" s="202"/>
      <c r="N453" s="203"/>
      <c r="O453" s="196"/>
      <c r="P453" s="196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6">
        <v>414</v>
      </c>
      <c r="B454" s="195" t="s">
        <v>427</v>
      </c>
      <c r="C454" s="195" t="s">
        <v>1107</v>
      </c>
      <c r="D454" s="195" t="s">
        <v>1108</v>
      </c>
      <c r="E454" s="195" t="s">
        <v>79</v>
      </c>
      <c r="F454" s="197" t="s">
        <v>1101</v>
      </c>
      <c r="G454" s="198" t="s">
        <v>81</v>
      </c>
      <c r="H454" s="199">
        <v>0</v>
      </c>
      <c r="I454" s="200"/>
      <c r="J454" s="196">
        <v>4000000</v>
      </c>
      <c r="K454" s="199"/>
      <c r="L454" s="201"/>
      <c r="M454" s="202"/>
      <c r="N454" s="203"/>
      <c r="O454" s="196"/>
      <c r="P454" s="196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6">
        <v>415</v>
      </c>
      <c r="B455" s="195" t="s">
        <v>276</v>
      </c>
      <c r="C455" s="195" t="s">
        <v>1109</v>
      </c>
      <c r="D455" s="195" t="s">
        <v>1110</v>
      </c>
      <c r="E455" s="195" t="s">
        <v>79</v>
      </c>
      <c r="F455" s="197" t="s">
        <v>1101</v>
      </c>
      <c r="G455" s="198" t="s">
        <v>81</v>
      </c>
      <c r="H455" s="199">
        <v>7100000</v>
      </c>
      <c r="I455" s="200"/>
      <c r="J455" s="196" t="s">
        <v>1111</v>
      </c>
      <c r="K455" s="199"/>
      <c r="L455" s="201"/>
      <c r="M455" s="202"/>
      <c r="N455" s="203"/>
      <c r="O455" s="196"/>
      <c r="P455" s="196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6">
        <v>416</v>
      </c>
      <c r="B456" s="195" t="s">
        <v>256</v>
      </c>
      <c r="C456" s="195" t="s">
        <v>1112</v>
      </c>
      <c r="D456" s="195" t="s">
        <v>1113</v>
      </c>
      <c r="E456" s="195" t="s">
        <v>79</v>
      </c>
      <c r="F456" s="197" t="s">
        <v>1114</v>
      </c>
      <c r="G456" s="198" t="s">
        <v>81</v>
      </c>
      <c r="H456" s="199">
        <v>1600500</v>
      </c>
      <c r="I456" s="200"/>
      <c r="J456" s="196"/>
      <c r="K456" s="199"/>
      <c r="L456" s="201"/>
      <c r="M456" s="202"/>
      <c r="N456" s="203"/>
      <c r="O456" s="196"/>
      <c r="P456" s="196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6">
        <v>417</v>
      </c>
      <c r="B457" s="195" t="s">
        <v>256</v>
      </c>
      <c r="C457" s="195" t="s">
        <v>1112</v>
      </c>
      <c r="D457" s="195" t="s">
        <v>1073</v>
      </c>
      <c r="E457" s="195" t="s">
        <v>79</v>
      </c>
      <c r="F457" s="197" t="s">
        <v>1114</v>
      </c>
      <c r="G457" s="198" t="s">
        <v>81</v>
      </c>
      <c r="H457" s="199">
        <v>1400500</v>
      </c>
      <c r="I457" s="200"/>
      <c r="J457" s="196"/>
      <c r="K457" s="199"/>
      <c r="L457" s="201"/>
      <c r="M457" s="202"/>
      <c r="N457" s="203"/>
      <c r="O457" s="196"/>
      <c r="P457" s="196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6">
        <v>418</v>
      </c>
      <c r="B458" s="195" t="s">
        <v>91</v>
      </c>
      <c r="C458" s="195" t="s">
        <v>1115</v>
      </c>
      <c r="D458" s="195" t="s">
        <v>1116</v>
      </c>
      <c r="E458" s="195" t="s">
        <v>79</v>
      </c>
      <c r="F458" s="197" t="s">
        <v>1117</v>
      </c>
      <c r="G458" s="198" t="s">
        <v>81</v>
      </c>
      <c r="H458" s="199">
        <v>600500</v>
      </c>
      <c r="I458" s="200"/>
      <c r="J458" s="196"/>
      <c r="K458" s="199"/>
      <c r="L458" s="201"/>
      <c r="M458" s="202"/>
      <c r="N458" s="203"/>
      <c r="O458" s="196"/>
      <c r="P458" s="196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6">
        <v>419</v>
      </c>
      <c r="B459" s="195" t="s">
        <v>91</v>
      </c>
      <c r="C459" s="195" t="s">
        <v>1118</v>
      </c>
      <c r="D459" s="195" t="s">
        <v>1119</v>
      </c>
      <c r="E459" s="195" t="s">
        <v>79</v>
      </c>
      <c r="F459" s="197" t="s">
        <v>1117</v>
      </c>
      <c r="G459" s="198" t="s">
        <v>81</v>
      </c>
      <c r="H459" s="199">
        <v>1400000</v>
      </c>
      <c r="I459" s="200"/>
      <c r="J459" s="196"/>
      <c r="K459" s="199"/>
      <c r="L459" s="201"/>
      <c r="M459" s="202"/>
      <c r="N459" s="203"/>
      <c r="O459" s="196"/>
      <c r="P459" s="196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6">
        <v>420</v>
      </c>
      <c r="B460" s="195" t="s">
        <v>864</v>
      </c>
      <c r="C460" s="195" t="s">
        <v>1120</v>
      </c>
      <c r="D460" s="195" t="s">
        <v>1121</v>
      </c>
      <c r="E460" s="195" t="s">
        <v>79</v>
      </c>
      <c r="F460" s="197" t="s">
        <v>1117</v>
      </c>
      <c r="G460" s="198" t="s">
        <v>81</v>
      </c>
      <c r="H460" s="199">
        <v>0</v>
      </c>
      <c r="I460" s="200"/>
      <c r="J460" s="196" t="s">
        <v>1122</v>
      </c>
      <c r="K460" s="199"/>
      <c r="L460" s="201"/>
      <c r="M460" s="202"/>
      <c r="N460" s="203"/>
      <c r="O460" s="196"/>
      <c r="P460" s="196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6">
        <v>421</v>
      </c>
      <c r="B461" s="195" t="s">
        <v>864</v>
      </c>
      <c r="C461" s="195" t="s">
        <v>1123</v>
      </c>
      <c r="D461" s="195" t="s">
        <v>1124</v>
      </c>
      <c r="E461" s="195" t="s">
        <v>79</v>
      </c>
      <c r="F461" s="197" t="s">
        <v>1125</v>
      </c>
      <c r="G461" s="198" t="s">
        <v>81</v>
      </c>
      <c r="H461" s="199">
        <v>40004000</v>
      </c>
      <c r="I461" s="200"/>
      <c r="J461" s="196"/>
      <c r="K461" s="199"/>
      <c r="L461" s="201"/>
      <c r="M461" s="202"/>
      <c r="N461" s="203"/>
      <c r="O461" s="196"/>
      <c r="P461" s="196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6">
        <v>422</v>
      </c>
      <c r="B462" s="195" t="s">
        <v>256</v>
      </c>
      <c r="C462" s="195" t="s">
        <v>481</v>
      </c>
      <c r="D462" s="195" t="s">
        <v>1126</v>
      </c>
      <c r="E462" s="195" t="s">
        <v>79</v>
      </c>
      <c r="F462" s="197" t="s">
        <v>1114</v>
      </c>
      <c r="G462" s="198" t="s">
        <v>81</v>
      </c>
      <c r="H462" s="199">
        <v>447000</v>
      </c>
      <c r="I462" s="200"/>
      <c r="J462" s="196"/>
      <c r="K462" s="199"/>
      <c r="L462" s="201"/>
      <c r="M462" s="202"/>
      <c r="N462" s="203"/>
      <c r="O462" s="196"/>
      <c r="P462" s="196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6">
        <v>423</v>
      </c>
      <c r="B463" s="195" t="s">
        <v>415</v>
      </c>
      <c r="C463" s="195" t="s">
        <v>1127</v>
      </c>
      <c r="D463" s="195" t="s">
        <v>1128</v>
      </c>
      <c r="E463" s="195" t="s">
        <v>79</v>
      </c>
      <c r="F463" s="197" t="s">
        <v>1129</v>
      </c>
      <c r="G463" s="198" t="s">
        <v>81</v>
      </c>
      <c r="H463" s="199">
        <v>10801080</v>
      </c>
      <c r="I463" s="200"/>
      <c r="J463" s="196" t="s">
        <v>963</v>
      </c>
      <c r="K463" s="199"/>
      <c r="L463" s="201"/>
      <c r="M463" s="202"/>
      <c r="N463" s="203"/>
      <c r="O463" s="196"/>
      <c r="P463" s="196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6">
        <v>424</v>
      </c>
      <c r="B464" s="195" t="s">
        <v>91</v>
      </c>
      <c r="C464" s="195" t="s">
        <v>302</v>
      </c>
      <c r="D464" s="195" t="s">
        <v>1130</v>
      </c>
      <c r="E464" s="195" t="s">
        <v>79</v>
      </c>
      <c r="F464" s="197" t="s">
        <v>1129</v>
      </c>
      <c r="G464" s="198" t="s">
        <v>81</v>
      </c>
      <c r="H464" s="199">
        <v>608300</v>
      </c>
      <c r="I464" s="200"/>
      <c r="J464" s="196"/>
      <c r="K464" s="199"/>
      <c r="L464" s="201"/>
      <c r="M464" s="202"/>
      <c r="N464" s="203"/>
      <c r="O464" s="196"/>
      <c r="P464" s="196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6">
        <v>425</v>
      </c>
      <c r="B465" s="195" t="s">
        <v>666</v>
      </c>
      <c r="C465" s="195" t="s">
        <v>1131</v>
      </c>
      <c r="D465" s="195" t="s">
        <v>1132</v>
      </c>
      <c r="E465" s="195" t="s">
        <v>550</v>
      </c>
      <c r="F465" s="197" t="s">
        <v>1133</v>
      </c>
      <c r="G465" s="198" t="s">
        <v>81</v>
      </c>
      <c r="H465" s="199">
        <v>160400000</v>
      </c>
      <c r="I465" s="200"/>
      <c r="J465" s="196" t="s">
        <v>1134</v>
      </c>
      <c r="K465" s="199"/>
      <c r="L465" s="201"/>
      <c r="M465" s="202"/>
      <c r="N465" s="203"/>
      <c r="O465" s="196"/>
      <c r="P465" s="196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6">
        <v>426</v>
      </c>
      <c r="B466" s="195" t="s">
        <v>256</v>
      </c>
      <c r="C466" s="195" t="s">
        <v>876</v>
      </c>
      <c r="D466" s="195" t="s">
        <v>1135</v>
      </c>
      <c r="E466" s="195" t="s">
        <v>79</v>
      </c>
      <c r="F466" s="197" t="s">
        <v>1136</v>
      </c>
      <c r="G466" s="198" t="s">
        <v>81</v>
      </c>
      <c r="H466" s="199">
        <v>2800000</v>
      </c>
      <c r="I466" s="200"/>
      <c r="J466" s="196" t="s">
        <v>1137</v>
      </c>
      <c r="K466" s="199"/>
      <c r="L466" s="201"/>
      <c r="M466" s="202"/>
      <c r="N466" s="203"/>
      <c r="O466" s="196"/>
      <c r="P466" s="196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6">
        <v>427</v>
      </c>
      <c r="B467" s="195" t="s">
        <v>256</v>
      </c>
      <c r="C467" s="195" t="s">
        <v>470</v>
      </c>
      <c r="D467" s="195" t="s">
        <v>1138</v>
      </c>
      <c r="E467" s="195" t="s">
        <v>79</v>
      </c>
      <c r="F467" s="197" t="s">
        <v>1136</v>
      </c>
      <c r="G467" s="198" t="s">
        <v>81</v>
      </c>
      <c r="H467" s="199">
        <v>1200000</v>
      </c>
      <c r="I467" s="200"/>
      <c r="J467" s="196" t="s">
        <v>1139</v>
      </c>
      <c r="K467" s="199"/>
      <c r="L467" s="201"/>
      <c r="M467" s="202"/>
      <c r="N467" s="203"/>
      <c r="O467" s="196"/>
      <c r="P467" s="196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6">
        <v>428</v>
      </c>
      <c r="B468" s="195" t="s">
        <v>276</v>
      </c>
      <c r="C468" s="195" t="s">
        <v>1140</v>
      </c>
      <c r="D468" s="195" t="s">
        <v>1141</v>
      </c>
      <c r="E468" s="195" t="s">
        <v>79</v>
      </c>
      <c r="F468" s="197" t="s">
        <v>1142</v>
      </c>
      <c r="G468" s="198" t="s">
        <v>81</v>
      </c>
      <c r="H468" s="199">
        <v>17250000</v>
      </c>
      <c r="I468" s="200"/>
      <c r="J468" s="196" t="s">
        <v>1143</v>
      </c>
      <c r="K468" s="199"/>
      <c r="L468" s="201"/>
      <c r="M468" s="202"/>
      <c r="N468" s="203"/>
      <c r="O468" s="196"/>
      <c r="P468" s="196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6">
        <v>429</v>
      </c>
      <c r="B469" s="195" t="s">
        <v>256</v>
      </c>
      <c r="C469" s="195" t="s">
        <v>1144</v>
      </c>
      <c r="D469" s="195" t="s">
        <v>1145</v>
      </c>
      <c r="E469" s="195" t="s">
        <v>79</v>
      </c>
      <c r="F469" s="197" t="s">
        <v>74</v>
      </c>
      <c r="G469" s="198" t="s">
        <v>81</v>
      </c>
      <c r="H469" s="199">
        <v>2400000</v>
      </c>
      <c r="I469" s="200"/>
      <c r="J469" s="196"/>
      <c r="K469" s="199"/>
      <c r="L469" s="201"/>
      <c r="M469" s="202"/>
      <c r="N469" s="203"/>
      <c r="O469" s="196"/>
      <c r="P469" s="196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6">
        <v>430</v>
      </c>
      <c r="B470" s="195" t="s">
        <v>427</v>
      </c>
      <c r="C470" s="195" t="s">
        <v>1019</v>
      </c>
      <c r="D470" s="195" t="s">
        <v>1146</v>
      </c>
      <c r="E470" s="195" t="s">
        <v>79</v>
      </c>
      <c r="F470" s="197" t="s">
        <v>1147</v>
      </c>
      <c r="G470" s="198" t="s">
        <v>81</v>
      </c>
      <c r="H470" s="199">
        <v>1900500</v>
      </c>
      <c r="I470" s="200"/>
      <c r="J470" s="196"/>
      <c r="K470" s="199"/>
      <c r="L470" s="201"/>
      <c r="M470" s="202"/>
      <c r="N470" s="203"/>
      <c r="O470" s="196"/>
      <c r="P470" s="196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6">
        <v>431</v>
      </c>
      <c r="B471" s="195" t="s">
        <v>170</v>
      </c>
      <c r="C471" s="195" t="s">
        <v>1148</v>
      </c>
      <c r="D471" s="61" t="s">
        <v>1259</v>
      </c>
      <c r="E471" s="195" t="s">
        <v>79</v>
      </c>
      <c r="F471" s="197" t="s">
        <v>1147</v>
      </c>
      <c r="G471" s="198" t="s">
        <v>81</v>
      </c>
      <c r="H471" s="199">
        <v>290000</v>
      </c>
      <c r="I471" s="200"/>
      <c r="J471" s="196"/>
      <c r="K471" s="199"/>
      <c r="L471" s="201"/>
      <c r="M471" s="202"/>
      <c r="N471" s="203"/>
      <c r="O471" s="196"/>
      <c r="P471" s="196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6">
        <v>432</v>
      </c>
      <c r="B472" s="195" t="s">
        <v>427</v>
      </c>
      <c r="C472" s="195" t="s">
        <v>1019</v>
      </c>
      <c r="D472" s="195" t="s">
        <v>1149</v>
      </c>
      <c r="E472" s="195" t="s">
        <v>79</v>
      </c>
      <c r="F472" s="197" t="s">
        <v>1150</v>
      </c>
      <c r="G472" s="198" t="s">
        <v>81</v>
      </c>
      <c r="H472" s="199">
        <v>1900500</v>
      </c>
      <c r="I472" s="200"/>
      <c r="J472" s="196"/>
      <c r="K472" s="199"/>
      <c r="L472" s="201"/>
      <c r="M472" s="202"/>
      <c r="N472" s="203"/>
      <c r="O472" s="196"/>
      <c r="P472" s="196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6">
        <v>433</v>
      </c>
      <c r="B473" s="195" t="s">
        <v>91</v>
      </c>
      <c r="C473" s="195" t="s">
        <v>1151</v>
      </c>
      <c r="D473" s="195" t="s">
        <v>1152</v>
      </c>
      <c r="E473" s="195" t="s">
        <v>79</v>
      </c>
      <c r="F473" s="197" t="s">
        <v>1147</v>
      </c>
      <c r="G473" s="198" t="s">
        <v>81</v>
      </c>
      <c r="H473" s="199">
        <v>110000</v>
      </c>
      <c r="I473" s="200"/>
      <c r="J473" s="196"/>
      <c r="K473" s="199"/>
      <c r="L473" s="201"/>
      <c r="M473" s="202"/>
      <c r="N473" s="203"/>
      <c r="O473" s="196"/>
      <c r="P473" s="196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6">
        <v>434</v>
      </c>
      <c r="B474" s="195" t="s">
        <v>427</v>
      </c>
      <c r="C474" s="195" t="s">
        <v>447</v>
      </c>
      <c r="D474" s="195" t="s">
        <v>1153</v>
      </c>
      <c r="E474" s="195" t="s">
        <v>79</v>
      </c>
      <c r="F474" s="197" t="s">
        <v>1058</v>
      </c>
      <c r="G474" s="198" t="s">
        <v>81</v>
      </c>
      <c r="H474" s="199">
        <v>1900500</v>
      </c>
      <c r="I474" s="200"/>
      <c r="J474" s="196"/>
      <c r="K474" s="199"/>
      <c r="L474" s="201"/>
      <c r="M474" s="202"/>
      <c r="N474" s="203"/>
      <c r="O474" s="196"/>
      <c r="P474" s="196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6">
        <v>435</v>
      </c>
      <c r="B475" s="195" t="s">
        <v>256</v>
      </c>
      <c r="C475" s="195" t="s">
        <v>223</v>
      </c>
      <c r="D475" s="195" t="s">
        <v>1154</v>
      </c>
      <c r="E475" s="195" t="s">
        <v>79</v>
      </c>
      <c r="F475" s="197" t="s">
        <v>1058</v>
      </c>
      <c r="G475" s="198" t="s">
        <v>81</v>
      </c>
      <c r="H475" s="199">
        <v>1700500</v>
      </c>
      <c r="I475" s="200"/>
      <c r="J475" s="196"/>
      <c r="K475" s="199"/>
      <c r="L475" s="201"/>
      <c r="M475" s="202"/>
      <c r="N475" s="203"/>
      <c r="O475" s="196"/>
      <c r="P475" s="196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6">
        <v>436</v>
      </c>
      <c r="B476" s="195" t="s">
        <v>256</v>
      </c>
      <c r="C476" s="195" t="s">
        <v>223</v>
      </c>
      <c r="D476" s="195" t="s">
        <v>1155</v>
      </c>
      <c r="E476" s="195" t="s">
        <v>79</v>
      </c>
      <c r="F476" s="197" t="s">
        <v>1058</v>
      </c>
      <c r="G476" s="198" t="s">
        <v>81</v>
      </c>
      <c r="H476" s="199">
        <v>1500500</v>
      </c>
      <c r="I476" s="200"/>
      <c r="J476" s="196"/>
      <c r="K476" s="199"/>
      <c r="L476" s="201"/>
      <c r="M476" s="202"/>
      <c r="N476" s="203"/>
      <c r="O476" s="196"/>
      <c r="P476" s="196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6">
        <v>437</v>
      </c>
      <c r="B477" s="195" t="s">
        <v>256</v>
      </c>
      <c r="C477" s="195" t="s">
        <v>1032</v>
      </c>
      <c r="D477" s="195" t="s">
        <v>1156</v>
      </c>
      <c r="E477" s="195" t="s">
        <v>79</v>
      </c>
      <c r="F477" s="197" t="s">
        <v>1058</v>
      </c>
      <c r="G477" s="198" t="s">
        <v>81</v>
      </c>
      <c r="H477" s="199">
        <v>730000</v>
      </c>
      <c r="I477" s="200"/>
      <c r="J477" s="196"/>
      <c r="K477" s="199"/>
      <c r="L477" s="201"/>
      <c r="M477" s="202"/>
      <c r="N477" s="203"/>
      <c r="O477" s="196"/>
      <c r="P477" s="196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6">
        <v>438</v>
      </c>
      <c r="B478" s="195" t="s">
        <v>427</v>
      </c>
      <c r="C478" s="195" t="s">
        <v>1019</v>
      </c>
      <c r="D478" s="195" t="s">
        <v>1157</v>
      </c>
      <c r="E478" s="195" t="s">
        <v>79</v>
      </c>
      <c r="F478" s="197" t="s">
        <v>1158</v>
      </c>
      <c r="G478" s="198" t="s">
        <v>81</v>
      </c>
      <c r="H478" s="199">
        <v>1900500</v>
      </c>
      <c r="I478" s="200"/>
      <c r="J478" s="196"/>
      <c r="K478" s="199"/>
      <c r="L478" s="201"/>
      <c r="M478" s="202"/>
      <c r="N478" s="203"/>
      <c r="O478" s="196"/>
      <c r="P478" s="196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6">
        <v>439</v>
      </c>
      <c r="B479" s="195" t="s">
        <v>130</v>
      </c>
      <c r="C479" s="195" t="s">
        <v>492</v>
      </c>
      <c r="D479" s="195" t="s">
        <v>1159</v>
      </c>
      <c r="E479" s="195" t="s">
        <v>79</v>
      </c>
      <c r="F479" s="197" t="s">
        <v>1160</v>
      </c>
      <c r="G479" s="198" t="s">
        <v>81</v>
      </c>
      <c r="H479" s="199">
        <v>20002000</v>
      </c>
      <c r="I479" s="200"/>
      <c r="J479" s="196" t="s">
        <v>1161</v>
      </c>
      <c r="K479" s="199"/>
      <c r="L479" s="201"/>
      <c r="M479" s="202"/>
      <c r="N479" s="203"/>
      <c r="O479" s="196"/>
      <c r="P479" s="196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6">
        <v>440</v>
      </c>
      <c r="B480" s="195" t="s">
        <v>356</v>
      </c>
      <c r="C480" s="195" t="s">
        <v>1032</v>
      </c>
      <c r="D480" s="195" t="s">
        <v>1162</v>
      </c>
      <c r="E480" s="195" t="s">
        <v>79</v>
      </c>
      <c r="F480" s="197" t="s">
        <v>1150</v>
      </c>
      <c r="G480" s="198" t="s">
        <v>81</v>
      </c>
      <c r="H480" s="199">
        <v>1127600</v>
      </c>
      <c r="I480" s="200"/>
      <c r="J480" s="196"/>
      <c r="K480" s="199"/>
      <c r="L480" s="201"/>
      <c r="M480" s="202"/>
      <c r="N480" s="203"/>
      <c r="O480" s="196"/>
      <c r="P480" s="196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6">
        <v>441</v>
      </c>
      <c r="B481" s="195" t="s">
        <v>356</v>
      </c>
      <c r="C481" s="195" t="s">
        <v>1235</v>
      </c>
      <c r="D481" s="195" t="s">
        <v>1236</v>
      </c>
      <c r="E481" s="195" t="s">
        <v>550</v>
      </c>
      <c r="F481" s="197" t="s">
        <v>780</v>
      </c>
      <c r="G481" s="198" t="s">
        <v>81</v>
      </c>
      <c r="H481" s="199">
        <v>90000000</v>
      </c>
      <c r="I481" s="200"/>
      <c r="J481" s="196"/>
      <c r="K481" s="199"/>
      <c r="L481" s="201"/>
      <c r="M481" s="202"/>
      <c r="N481" s="203"/>
      <c r="O481" s="196"/>
      <c r="P481" s="196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6">
        <v>442</v>
      </c>
      <c r="B482" s="195" t="s">
        <v>427</v>
      </c>
      <c r="C482" s="195" t="s">
        <v>1019</v>
      </c>
      <c r="D482" s="195" t="s">
        <v>1237</v>
      </c>
      <c r="E482" s="195" t="s">
        <v>79</v>
      </c>
      <c r="F482" s="197" t="s">
        <v>1158</v>
      </c>
      <c r="G482" s="198" t="s">
        <v>81</v>
      </c>
      <c r="H482" s="199">
        <v>1900500</v>
      </c>
      <c r="I482" s="200"/>
      <c r="J482" s="196"/>
      <c r="K482" s="199"/>
      <c r="L482" s="201"/>
      <c r="M482" s="202"/>
      <c r="N482" s="203"/>
      <c r="O482" s="196"/>
      <c r="P482" s="196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6">
        <v>443</v>
      </c>
      <c r="B483" s="195" t="s">
        <v>256</v>
      </c>
      <c r="C483" s="195" t="s">
        <v>1032</v>
      </c>
      <c r="D483" s="195" t="s">
        <v>1238</v>
      </c>
      <c r="E483" s="195" t="s">
        <v>79</v>
      </c>
      <c r="F483" s="197" t="s">
        <v>922</v>
      </c>
      <c r="G483" s="198" t="s">
        <v>81</v>
      </c>
      <c r="H483" s="199">
        <f>316000+940000+30000</f>
        <v>1286000</v>
      </c>
      <c r="I483" s="200"/>
      <c r="J483" s="196"/>
      <c r="K483" s="199"/>
      <c r="L483" s="201"/>
      <c r="M483" s="202"/>
      <c r="N483" s="203"/>
      <c r="O483" s="196"/>
      <c r="P483" s="196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6">
        <v>444</v>
      </c>
      <c r="B484" s="195" t="s">
        <v>256</v>
      </c>
      <c r="C484" s="195" t="s">
        <v>223</v>
      </c>
      <c r="D484" s="195" t="s">
        <v>1239</v>
      </c>
      <c r="E484" s="195" t="s">
        <v>79</v>
      </c>
      <c r="F484" s="197" t="s">
        <v>922</v>
      </c>
      <c r="G484" s="198" t="s">
        <v>81</v>
      </c>
      <c r="H484" s="199">
        <v>1700500</v>
      </c>
      <c r="I484" s="200"/>
      <c r="J484" s="58" t="s">
        <v>1260</v>
      </c>
      <c r="K484" s="199"/>
      <c r="L484" s="201"/>
      <c r="M484" s="202"/>
      <c r="N484" s="203"/>
      <c r="O484" s="196"/>
      <c r="P484" s="196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6">
        <v>445</v>
      </c>
      <c r="B485" s="195" t="s">
        <v>256</v>
      </c>
      <c r="C485" s="195" t="s">
        <v>223</v>
      </c>
      <c r="D485" s="195" t="s">
        <v>1240</v>
      </c>
      <c r="E485" s="195" t="s">
        <v>79</v>
      </c>
      <c r="F485" s="197" t="s">
        <v>922</v>
      </c>
      <c r="G485" s="198" t="s">
        <v>81</v>
      </c>
      <c r="H485" s="199">
        <v>1502000</v>
      </c>
      <c r="I485" s="200"/>
      <c r="J485" s="196" t="s">
        <v>1251</v>
      </c>
      <c r="K485" s="199"/>
      <c r="L485" s="201"/>
      <c r="M485" s="202"/>
      <c r="N485" s="203"/>
      <c r="O485" s="196"/>
      <c r="P485" s="196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6">
        <v>446</v>
      </c>
      <c r="B486" s="195" t="s">
        <v>130</v>
      </c>
      <c r="C486" s="195" t="s">
        <v>1105</v>
      </c>
      <c r="D486" s="195" t="s">
        <v>1241</v>
      </c>
      <c r="E486" s="195" t="s">
        <v>79</v>
      </c>
      <c r="F486" s="197" t="s">
        <v>922</v>
      </c>
      <c r="G486" s="198" t="s">
        <v>81</v>
      </c>
      <c r="H486" s="199">
        <v>30003000</v>
      </c>
      <c r="I486" s="200"/>
      <c r="J486" s="196"/>
      <c r="K486" s="199"/>
      <c r="L486" s="201"/>
      <c r="M486" s="202"/>
      <c r="N486" s="203"/>
      <c r="O486" s="196"/>
      <c r="P486" s="196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6">
        <v>446</v>
      </c>
      <c r="B487" s="195" t="s">
        <v>130</v>
      </c>
      <c r="C487" s="195" t="s">
        <v>1105</v>
      </c>
      <c r="D487" s="195" t="s">
        <v>1242</v>
      </c>
      <c r="E487" s="195" t="s">
        <v>79</v>
      </c>
      <c r="F487" s="197" t="s">
        <v>1243</v>
      </c>
      <c r="G487" s="198" t="s">
        <v>81</v>
      </c>
      <c r="H487" s="199">
        <v>2770300</v>
      </c>
      <c r="I487" s="200"/>
      <c r="J487" s="196" t="s">
        <v>1254</v>
      </c>
      <c r="K487" s="199"/>
      <c r="L487" s="201"/>
      <c r="M487" s="202"/>
      <c r="N487" s="203"/>
      <c r="O487" s="196"/>
      <c r="P487" s="196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6">
        <v>447</v>
      </c>
      <c r="B488" s="195" t="s">
        <v>256</v>
      </c>
      <c r="C488" s="195" t="s">
        <v>1105</v>
      </c>
      <c r="D488" s="195" t="s">
        <v>1244</v>
      </c>
      <c r="E488" s="195" t="s">
        <v>79</v>
      </c>
      <c r="F488" s="197" t="s">
        <v>922</v>
      </c>
      <c r="G488" s="198" t="s">
        <v>81</v>
      </c>
      <c r="H488" s="199">
        <v>30003000</v>
      </c>
      <c r="I488" s="200"/>
      <c r="J488" s="196"/>
      <c r="K488" s="199"/>
      <c r="L488" s="201"/>
      <c r="M488" s="202"/>
      <c r="N488" s="203"/>
      <c r="O488" s="196"/>
      <c r="P488" s="196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6">
        <v>448</v>
      </c>
      <c r="B489" s="195" t="s">
        <v>276</v>
      </c>
      <c r="C489" s="195" t="s">
        <v>1109</v>
      </c>
      <c r="D489" s="195" t="s">
        <v>1245</v>
      </c>
      <c r="E489" s="195" t="s">
        <v>79</v>
      </c>
      <c r="F489" s="197" t="s">
        <v>922</v>
      </c>
      <c r="G489" s="198" t="s">
        <v>81</v>
      </c>
      <c r="H489" s="199">
        <v>43502000</v>
      </c>
      <c r="I489" s="200"/>
      <c r="J489" s="196"/>
      <c r="K489" s="199"/>
      <c r="L489" s="201"/>
      <c r="M489" s="202"/>
      <c r="N489" s="203"/>
      <c r="O489" s="196"/>
      <c r="P489" s="196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6">
        <v>449</v>
      </c>
      <c r="B490" s="195" t="s">
        <v>276</v>
      </c>
      <c r="C490" s="195" t="s">
        <v>1109</v>
      </c>
      <c r="D490" s="195" t="s">
        <v>1246</v>
      </c>
      <c r="E490" s="195" t="s">
        <v>79</v>
      </c>
      <c r="F490" s="197" t="s">
        <v>1243</v>
      </c>
      <c r="G490" s="198" t="s">
        <v>81</v>
      </c>
      <c r="H490" s="199">
        <v>2700000</v>
      </c>
      <c r="I490" s="200"/>
      <c r="J490" s="196"/>
      <c r="K490" s="199"/>
      <c r="L490" s="201"/>
      <c r="M490" s="202"/>
      <c r="N490" s="203"/>
      <c r="O490" s="196"/>
      <c r="P490" s="196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6">
        <v>450</v>
      </c>
      <c r="B491" s="195" t="s">
        <v>427</v>
      </c>
      <c r="C491" s="195" t="s">
        <v>1248</v>
      </c>
      <c r="D491" s="195" t="s">
        <v>1249</v>
      </c>
      <c r="E491" s="195" t="s">
        <v>79</v>
      </c>
      <c r="F491" s="197" t="s">
        <v>1243</v>
      </c>
      <c r="G491" s="198" t="s">
        <v>81</v>
      </c>
      <c r="H491" s="199">
        <v>-18330000</v>
      </c>
      <c r="I491" s="200"/>
      <c r="J491" s="196" t="s">
        <v>1256</v>
      </c>
      <c r="K491" s="199"/>
      <c r="L491" s="201"/>
      <c r="M491" s="202"/>
      <c r="N491" s="203"/>
      <c r="O491" s="196"/>
      <c r="P491" s="196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6">
        <v>451</v>
      </c>
      <c r="B492" s="195" t="s">
        <v>427</v>
      </c>
      <c r="C492" s="195" t="s">
        <v>1250</v>
      </c>
      <c r="D492" s="195" t="s">
        <v>1258</v>
      </c>
      <c r="E492" s="195" t="s">
        <v>550</v>
      </c>
      <c r="F492" s="197" t="s">
        <v>1257</v>
      </c>
      <c r="G492" s="198" t="s">
        <v>81</v>
      </c>
      <c r="H492" s="199">
        <v>165500000</v>
      </c>
      <c r="I492" s="200"/>
      <c r="J492" s="58" t="s">
        <v>1274</v>
      </c>
      <c r="K492" s="199"/>
      <c r="L492" s="201"/>
      <c r="M492" s="202"/>
      <c r="N492" s="203"/>
      <c r="O492" s="196"/>
      <c r="P492" s="196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6">
        <v>452</v>
      </c>
      <c r="B493" s="195" t="s">
        <v>130</v>
      </c>
      <c r="C493" s="195" t="s">
        <v>1105</v>
      </c>
      <c r="D493" s="195" t="s">
        <v>1252</v>
      </c>
      <c r="E493" s="195" t="s">
        <v>79</v>
      </c>
      <c r="F493" s="197" t="s">
        <v>1243</v>
      </c>
      <c r="G493" s="198" t="s">
        <v>81</v>
      </c>
      <c r="H493" s="199">
        <v>17701700</v>
      </c>
      <c r="I493" s="200"/>
      <c r="J493" s="196" t="s">
        <v>1253</v>
      </c>
      <c r="K493" s="199"/>
      <c r="L493" s="201"/>
      <c r="M493" s="202"/>
      <c r="N493" s="203"/>
      <c r="O493" s="196"/>
      <c r="P493" s="196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6">
        <v>453</v>
      </c>
      <c r="B494" s="195" t="s">
        <v>256</v>
      </c>
      <c r="C494" s="195" t="s">
        <v>1105</v>
      </c>
      <c r="D494" s="195" t="s">
        <v>1255</v>
      </c>
      <c r="E494" s="195" t="s">
        <v>79</v>
      </c>
      <c r="F494" s="197" t="s">
        <v>1243</v>
      </c>
      <c r="G494" s="198" t="s">
        <v>81</v>
      </c>
      <c r="H494" s="199">
        <v>30003000</v>
      </c>
      <c r="I494" s="200"/>
      <c r="J494" s="196"/>
      <c r="K494" s="199"/>
      <c r="L494" s="201"/>
      <c r="M494" s="202"/>
      <c r="N494" s="203"/>
      <c r="O494" s="196"/>
      <c r="P494" s="196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6">
        <v>454</v>
      </c>
      <c r="B495" s="61" t="s">
        <v>130</v>
      </c>
      <c r="C495" s="238" t="s">
        <v>1105</v>
      </c>
      <c r="D495" s="238" t="s">
        <v>1265</v>
      </c>
      <c r="E495" s="61" t="s">
        <v>79</v>
      </c>
      <c r="F495" s="88" t="s">
        <v>1263</v>
      </c>
      <c r="G495" s="90" t="s">
        <v>81</v>
      </c>
      <c r="H495" s="199">
        <v>30000000</v>
      </c>
      <c r="I495" s="200"/>
      <c r="K495" s="199"/>
      <c r="L495" s="201"/>
      <c r="M495" s="202"/>
      <c r="N495" s="203"/>
      <c r="O495" s="196"/>
      <c r="P495" s="196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130</v>
      </c>
      <c r="C496" s="61" t="s">
        <v>1261</v>
      </c>
      <c r="D496" s="61" t="s">
        <v>1262</v>
      </c>
      <c r="E496" s="61" t="s">
        <v>79</v>
      </c>
      <c r="F496" s="88" t="s">
        <v>1263</v>
      </c>
      <c r="G496" s="90" t="s">
        <v>81</v>
      </c>
      <c r="H496" s="74">
        <v>-2500000</v>
      </c>
      <c r="I496" s="89"/>
      <c r="J496" s="58" t="s">
        <v>1264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850</v>
      </c>
      <c r="C497" s="61" t="s">
        <v>1266</v>
      </c>
      <c r="D497" s="61" t="s">
        <v>1268</v>
      </c>
      <c r="E497" s="61" t="s">
        <v>550</v>
      </c>
      <c r="F497" s="88" t="s">
        <v>1267</v>
      </c>
      <c r="G497" s="90" t="s">
        <v>81</v>
      </c>
      <c r="H497" s="74">
        <v>660000000</v>
      </c>
      <c r="I497" s="89"/>
      <c r="J497" s="58" t="s">
        <v>1269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427</v>
      </c>
      <c r="C498" s="61" t="s">
        <v>1270</v>
      </c>
      <c r="D498" s="61" t="s">
        <v>1271</v>
      </c>
      <c r="E498" s="61" t="s">
        <v>550</v>
      </c>
      <c r="F498" s="88" t="s">
        <v>1272</v>
      </c>
      <c r="G498" s="90" t="s">
        <v>81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256</v>
      </c>
      <c r="C499" s="61" t="s">
        <v>1103</v>
      </c>
      <c r="D499" s="61" t="s">
        <v>1273</v>
      </c>
      <c r="E499" s="61" t="s">
        <v>79</v>
      </c>
      <c r="F499" s="88" t="s">
        <v>1272</v>
      </c>
      <c r="G499" s="90" t="s">
        <v>81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91</v>
      </c>
      <c r="C500" s="61" t="s">
        <v>1032</v>
      </c>
      <c r="D500" s="61" t="s">
        <v>1275</v>
      </c>
      <c r="E500" s="61" t="s">
        <v>79</v>
      </c>
      <c r="F500" s="88" t="s">
        <v>1276</v>
      </c>
      <c r="G500" s="90" t="s">
        <v>81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/>
      <c r="B501" s="61"/>
      <c r="C501" s="61"/>
      <c r="D501" s="61"/>
      <c r="E501" s="61"/>
      <c r="F501" s="88"/>
      <c r="G501" s="90"/>
      <c r="H501" s="74"/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/>
      <c r="B502" s="61"/>
      <c r="C502" s="61"/>
      <c r="D502" s="61"/>
      <c r="E502" s="61"/>
      <c r="F502" s="88"/>
      <c r="G502" s="90"/>
      <c r="H502" s="74"/>
      <c r="I502" s="89"/>
      <c r="J502" s="58"/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/>
      <c r="B503" s="61"/>
      <c r="C503" s="61"/>
      <c r="D503" s="61"/>
      <c r="E503" s="61"/>
      <c r="F503" s="88"/>
      <c r="G503" s="90"/>
      <c r="H503" s="74"/>
      <c r="I503" s="89"/>
      <c r="J503" s="58"/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/>
      <c r="B504" s="61"/>
      <c r="C504" s="61"/>
      <c r="D504" s="61"/>
      <c r="E504" s="61"/>
      <c r="F504" s="88"/>
      <c r="G504" s="90"/>
      <c r="H504" s="74"/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/>
      <c r="B505" s="61"/>
      <c r="C505" s="61"/>
      <c r="D505" s="61"/>
      <c r="E505" s="61"/>
      <c r="F505" s="88"/>
      <c r="G505" s="90"/>
      <c r="H505" s="74"/>
      <c r="I505" s="89"/>
      <c r="J505" s="58"/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/>
      <c r="B506" s="61"/>
      <c r="C506" s="61"/>
      <c r="D506" s="61"/>
      <c r="E506" s="61"/>
      <c r="F506" s="88"/>
      <c r="G506" s="90"/>
      <c r="H506" s="74"/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/>
      <c r="B507" s="61"/>
      <c r="C507" s="61"/>
      <c r="D507" s="61"/>
      <c r="E507" s="61"/>
      <c r="F507" s="88"/>
      <c r="G507" s="90"/>
      <c r="H507" s="74"/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/>
      <c r="B508" s="61"/>
      <c r="C508" s="61"/>
      <c r="D508" s="61"/>
      <c r="E508" s="61"/>
      <c r="F508" s="88"/>
      <c r="G508" s="90"/>
      <c r="H508" s="74"/>
      <c r="I508" s="89"/>
      <c r="J508" s="58"/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/>
      <c r="B509" s="61"/>
      <c r="C509" s="61"/>
      <c r="D509" s="61"/>
      <c r="E509" s="61"/>
      <c r="F509" s="88"/>
      <c r="G509" s="90"/>
      <c r="H509" s="74"/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/>
      <c r="B510" s="61"/>
      <c r="C510" s="61"/>
      <c r="D510" s="61"/>
      <c r="E510" s="61"/>
      <c r="F510" s="88"/>
      <c r="G510" s="90"/>
      <c r="H510" s="74"/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/>
      <c r="B511" s="61"/>
      <c r="C511" s="61"/>
      <c r="D511" s="61"/>
      <c r="E511" s="61"/>
      <c r="F511" s="88"/>
      <c r="G511" s="90"/>
      <c r="H511" s="74"/>
      <c r="I511" s="89"/>
      <c r="J511" s="58"/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/>
      <c r="B512" s="61"/>
      <c r="C512" s="61"/>
      <c r="D512" s="61"/>
      <c r="E512" s="61"/>
      <c r="F512" s="88"/>
      <c r="G512" s="90"/>
      <c r="H512" s="74"/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/>
      <c r="B513" s="61"/>
      <c r="C513" s="61"/>
      <c r="D513" s="61"/>
      <c r="E513" s="61"/>
      <c r="F513" s="88"/>
      <c r="G513" s="90"/>
      <c r="H513" s="74"/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/>
      <c r="B514" s="61"/>
      <c r="C514" s="61"/>
      <c r="D514" s="61"/>
      <c r="E514" s="61"/>
      <c r="F514" s="88"/>
      <c r="G514" s="90"/>
      <c r="H514" s="74"/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/>
      <c r="B515" s="61"/>
      <c r="C515" s="61"/>
      <c r="D515" s="61"/>
      <c r="E515" s="61"/>
      <c r="F515" s="88"/>
      <c r="G515" s="90"/>
      <c r="H515" s="74"/>
      <c r="I515" s="89"/>
      <c r="J515" s="58"/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/>
      <c r="B516" s="61"/>
      <c r="C516" s="61"/>
      <c r="D516" s="61"/>
      <c r="E516" s="61"/>
      <c r="F516" s="88"/>
      <c r="G516" s="90"/>
      <c r="H516" s="74"/>
      <c r="I516" s="89"/>
      <c r="J516" s="58"/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/>
      <c r="B517" s="61"/>
      <c r="C517" s="61"/>
      <c r="D517" s="61"/>
      <c r="E517" s="61"/>
      <c r="F517" s="88"/>
      <c r="G517" s="90"/>
      <c r="H517" s="74"/>
      <c r="I517" s="89"/>
      <c r="J517" s="58"/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/>
      <c r="B518" s="61"/>
      <c r="C518" s="61"/>
      <c r="D518" s="61"/>
      <c r="E518" s="61"/>
      <c r="F518" s="88"/>
      <c r="G518" s="90"/>
      <c r="H518" s="74"/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/>
      <c r="B519" s="61"/>
      <c r="C519" s="61"/>
      <c r="D519" s="61"/>
      <c r="E519" s="61"/>
      <c r="F519" s="88"/>
      <c r="G519" s="90"/>
      <c r="H519" s="74"/>
      <c r="I519" s="89"/>
      <c r="J519" s="58"/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/>
      <c r="B520" s="61"/>
      <c r="C520" s="61"/>
      <c r="D520" s="61"/>
      <c r="E520" s="61"/>
      <c r="F520" s="88"/>
      <c r="G520" s="90"/>
      <c r="H520" s="74"/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opLeftCell="A7" workbookViewId="0">
      <selection activeCell="H13" sqref="H13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39" t="s">
        <v>1</v>
      </c>
      <c r="B1" s="240"/>
      <c r="C1" s="240"/>
      <c r="D1" s="240"/>
      <c r="E1" s="240"/>
      <c r="F1" s="24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42" t="s">
        <v>3</v>
      </c>
      <c r="B2" s="243"/>
      <c r="C2" s="243"/>
      <c r="D2" s="244"/>
      <c r="E2" s="206" t="s">
        <v>4</v>
      </c>
      <c r="F2" s="207" t="s">
        <v>5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8" t="s">
        <v>6</v>
      </c>
      <c r="B3" s="209" t="s">
        <v>7</v>
      </c>
      <c r="C3" s="210" t="s">
        <v>8</v>
      </c>
      <c r="D3" s="210" t="s">
        <v>9</v>
      </c>
      <c r="E3" s="206" t="s">
        <v>12</v>
      </c>
      <c r="F3" s="211" t="s">
        <v>11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2">
        <v>1</v>
      </c>
      <c r="B4" s="213" t="s">
        <v>4</v>
      </c>
      <c r="C4" s="214">
        <v>500000</v>
      </c>
      <c r="D4" s="215" t="s">
        <v>16</v>
      </c>
      <c r="E4" s="216">
        <v>179</v>
      </c>
      <c r="F4" s="217" t="s">
        <v>17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2">
        <v>2</v>
      </c>
      <c r="B5" s="213" t="s">
        <v>19</v>
      </c>
      <c r="C5" s="214">
        <v>2150000000</v>
      </c>
      <c r="D5" s="215" t="s">
        <v>22</v>
      </c>
      <c r="E5" s="206" t="s">
        <v>21</v>
      </c>
      <c r="F5" s="218" t="s">
        <v>23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2">
        <v>3</v>
      </c>
      <c r="B6" s="213" t="s">
        <v>19</v>
      </c>
      <c r="C6" s="214">
        <v>181200000</v>
      </c>
      <c r="D6" s="215" t="s">
        <v>26</v>
      </c>
      <c r="E6" s="219">
        <f>E7*E4</f>
        <v>12440500000</v>
      </c>
      <c r="F6" s="220" t="s">
        <v>28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2">
        <v>4</v>
      </c>
      <c r="B7" s="213" t="s">
        <v>19</v>
      </c>
      <c r="C7" s="214">
        <v>1450000000</v>
      </c>
      <c r="D7" s="215" t="s">
        <v>26</v>
      </c>
      <c r="E7" s="221">
        <v>69500000</v>
      </c>
      <c r="F7" s="222" t="s">
        <v>32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2">
        <v>5</v>
      </c>
      <c r="B8" s="213" t="s">
        <v>19</v>
      </c>
      <c r="C8" s="214">
        <v>5000000</v>
      </c>
      <c r="D8" s="215" t="s">
        <v>33</v>
      </c>
      <c r="E8" s="223"/>
      <c r="F8" s="224" t="s">
        <v>34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2">
        <v>6</v>
      </c>
      <c r="B9" s="213" t="s">
        <v>19</v>
      </c>
      <c r="C9" s="214">
        <v>3800000</v>
      </c>
      <c r="D9" s="215" t="s">
        <v>35</v>
      </c>
      <c r="E9" s="223"/>
      <c r="F9" s="224" t="s">
        <v>36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2">
        <v>7</v>
      </c>
      <c r="B10" s="225" t="s">
        <v>37</v>
      </c>
      <c r="C10" s="226">
        <v>182000000</v>
      </c>
      <c r="D10" s="227" t="s">
        <v>38</v>
      </c>
      <c r="E10" s="223"/>
      <c r="F10" s="224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2">
        <v>8</v>
      </c>
      <c r="B11" s="213" t="s">
        <v>39</v>
      </c>
      <c r="C11" s="226">
        <v>28000000</v>
      </c>
      <c r="D11" s="227" t="s">
        <v>40</v>
      </c>
      <c r="E11" s="223"/>
      <c r="F11" s="224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2">
        <v>9</v>
      </c>
      <c r="B12" s="213" t="s">
        <v>42</v>
      </c>
      <c r="C12" s="226">
        <v>100000000</v>
      </c>
      <c r="D12" s="227" t="s">
        <v>44</v>
      </c>
      <c r="E12" s="223"/>
      <c r="F12" s="224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2">
        <v>10</v>
      </c>
      <c r="B13" s="213" t="s">
        <v>46</v>
      </c>
      <c r="C13" s="226">
        <v>100000000</v>
      </c>
      <c r="D13" s="227" t="s">
        <v>44</v>
      </c>
      <c r="E13" s="223"/>
      <c r="F13" s="224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2">
        <v>11</v>
      </c>
      <c r="B14" s="213" t="s">
        <v>48</v>
      </c>
      <c r="C14" s="226">
        <v>200000000</v>
      </c>
      <c r="D14" s="227" t="s">
        <v>50</v>
      </c>
      <c r="E14" s="223"/>
      <c r="F14" s="224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2">
        <v>12</v>
      </c>
      <c r="B15" s="213" t="s">
        <v>53</v>
      </c>
      <c r="C15" s="226">
        <v>200000000</v>
      </c>
      <c r="D15" s="227" t="s">
        <v>50</v>
      </c>
      <c r="E15" s="223"/>
      <c r="F15" s="224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2">
        <v>13</v>
      </c>
      <c r="B16" s="213" t="s">
        <v>54</v>
      </c>
      <c r="C16" s="226">
        <v>200000000</v>
      </c>
      <c r="D16" s="227" t="s">
        <v>50</v>
      </c>
      <c r="E16" s="223"/>
      <c r="F16" s="224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2">
        <v>14</v>
      </c>
      <c r="B17" s="213" t="s">
        <v>55</v>
      </c>
      <c r="C17" s="226">
        <v>130000000</v>
      </c>
      <c r="D17" s="227" t="s">
        <v>56</v>
      </c>
      <c r="E17" s="223"/>
      <c r="F17" s="224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2">
        <v>15</v>
      </c>
      <c r="B18" s="213" t="s">
        <v>55</v>
      </c>
      <c r="C18" s="226">
        <v>70000000</v>
      </c>
      <c r="D18" s="227" t="s">
        <v>57</v>
      </c>
      <c r="E18" s="223"/>
      <c r="F18" s="224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2">
        <v>16</v>
      </c>
      <c r="B19" s="213" t="s">
        <v>59</v>
      </c>
      <c r="C19" s="226">
        <v>40000000</v>
      </c>
      <c r="D19" s="227" t="s">
        <v>60</v>
      </c>
      <c r="E19" s="223"/>
      <c r="F19" s="224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2">
        <v>17</v>
      </c>
      <c r="B20" s="213" t="s">
        <v>61</v>
      </c>
      <c r="C20" s="226">
        <v>100000000</v>
      </c>
      <c r="D20" s="227" t="s">
        <v>62</v>
      </c>
      <c r="E20" s="223"/>
      <c r="F20" s="224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2">
        <v>18</v>
      </c>
      <c r="B21" s="213" t="s">
        <v>65</v>
      </c>
      <c r="C21" s="226">
        <v>50000000</v>
      </c>
      <c r="D21" s="227" t="s">
        <v>66</v>
      </c>
      <c r="E21" s="223"/>
      <c r="F21" s="224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2">
        <v>19</v>
      </c>
      <c r="B22" s="213" t="s">
        <v>61</v>
      </c>
      <c r="C22" s="226">
        <v>50000000</v>
      </c>
      <c r="D22" s="227" t="s">
        <v>67</v>
      </c>
      <c r="E22" s="223"/>
      <c r="F22" s="224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2">
        <v>20</v>
      </c>
      <c r="B23" s="213" t="s">
        <v>69</v>
      </c>
      <c r="C23" s="226">
        <v>70000000</v>
      </c>
      <c r="D23" s="227" t="s">
        <v>71</v>
      </c>
      <c r="E23" s="223"/>
      <c r="F23" s="224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2">
        <v>21</v>
      </c>
      <c r="B24" s="213" t="s">
        <v>73</v>
      </c>
      <c r="C24" s="226">
        <v>50000000</v>
      </c>
      <c r="D24" s="227" t="s">
        <v>71</v>
      </c>
      <c r="E24" s="223"/>
      <c r="F24" s="224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2">
        <v>22</v>
      </c>
      <c r="B25" s="213" t="s">
        <v>74</v>
      </c>
      <c r="C25" s="226">
        <v>30000000</v>
      </c>
      <c r="D25" s="227" t="s">
        <v>75</v>
      </c>
      <c r="E25" s="223"/>
      <c r="F25" s="224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2">
        <v>22</v>
      </c>
      <c r="B26" s="213"/>
      <c r="C26" s="228"/>
      <c r="D26" s="227"/>
      <c r="E26" s="223"/>
      <c r="F26" s="224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9"/>
      <c r="B27" s="215"/>
      <c r="C27" s="230">
        <f>SUM(C4:C26)</f>
        <v>5390500000</v>
      </c>
      <c r="D27" s="231" t="s">
        <v>1247</v>
      </c>
      <c r="E27" s="232"/>
      <c r="F27" s="224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3"/>
      <c r="B28" s="234"/>
      <c r="C28" s="235">
        <f>E6-C27</f>
        <v>7050000000</v>
      </c>
      <c r="D28" s="236" t="s">
        <v>70</v>
      </c>
      <c r="E28" s="234"/>
      <c r="F28" s="237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45" t="s">
        <v>0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 t="s">
        <v>4</v>
      </c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10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14</v>
      </c>
      <c r="C4" s="12">
        <v>1500000000</v>
      </c>
      <c r="D4" s="13" t="s">
        <v>15</v>
      </c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18</v>
      </c>
      <c r="C5" s="12">
        <v>500000000</v>
      </c>
      <c r="D5" s="13" t="s">
        <v>20</v>
      </c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24</v>
      </c>
      <c r="C6" s="12">
        <v>500000000</v>
      </c>
      <c r="D6" s="13" t="s">
        <v>25</v>
      </c>
      <c r="E6" s="19">
        <f>E7*E4</f>
        <v>6003000000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30</v>
      </c>
      <c r="C7" s="12">
        <v>500000000</v>
      </c>
      <c r="D7" s="13" t="s">
        <v>31</v>
      </c>
      <c r="E7" s="24">
        <v>69000000</v>
      </c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58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tabSelected="1"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1277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13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72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2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946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988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1163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1164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1165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44" zoomScale="80" workbookViewId="0">
      <selection activeCell="BA46" sqref="BA46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1158</v>
      </c>
      <c r="D1" s="93" t="s">
        <v>1166</v>
      </c>
      <c r="E1" s="94" t="s">
        <v>1167</v>
      </c>
      <c r="F1" s="95"/>
    </row>
    <row r="2" spans="1:26" ht="22.5" x14ac:dyDescent="0.35">
      <c r="A2" s="96" t="s">
        <v>1168</v>
      </c>
      <c r="B2" s="96" t="s">
        <v>1169</v>
      </c>
      <c r="C2" s="96" t="s">
        <v>1170</v>
      </c>
      <c r="D2" s="97" t="s">
        <v>1171</v>
      </c>
      <c r="E2" s="98" t="s">
        <v>1172</v>
      </c>
      <c r="F2" s="98" t="s">
        <v>6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1173</v>
      </c>
      <c r="E3" s="101" t="s">
        <v>1174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1175</v>
      </c>
      <c r="E4" s="106" t="s">
        <v>76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1176</v>
      </c>
      <c r="E5" s="101" t="s">
        <v>114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1177</v>
      </c>
      <c r="E6" s="106" t="s">
        <v>248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1178</v>
      </c>
      <c r="E7" s="101" t="s">
        <v>83</v>
      </c>
      <c r="F7" s="102">
        <v>5</v>
      </c>
    </row>
    <row r="8" spans="1:26" ht="21.4" x14ac:dyDescent="0.35">
      <c r="A8" s="104">
        <f>SUMIF(Sheet1!B:B,Sheet7!E8,Sheet1!H:H)</f>
        <v>1703461000</v>
      </c>
      <c r="B8" s="104">
        <v>1705000000</v>
      </c>
      <c r="C8" s="104">
        <v>1820000000</v>
      </c>
      <c r="D8" s="105" t="s">
        <v>1179</v>
      </c>
      <c r="E8" s="106" t="s">
        <v>318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1180</v>
      </c>
      <c r="E9" s="101" t="s">
        <v>361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1181</v>
      </c>
      <c r="E10" s="106" t="s">
        <v>525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1182</v>
      </c>
      <c r="E11" s="101" t="s">
        <v>472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1183</v>
      </c>
      <c r="E12" s="106" t="s">
        <v>130</v>
      </c>
      <c r="F12" s="107">
        <v>10</v>
      </c>
    </row>
    <row r="13" spans="1:26" ht="21.4" x14ac:dyDescent="0.35">
      <c r="A13" s="99">
        <f>SUMIF(Sheet1!B:B,Sheet7!E13,Sheet1!H:H)</f>
        <v>602931019</v>
      </c>
      <c r="B13" s="99">
        <v>1000000000</v>
      </c>
      <c r="C13" s="99">
        <v>1300000000</v>
      </c>
      <c r="D13" s="100" t="s">
        <v>1184</v>
      </c>
      <c r="E13" s="101" t="s">
        <v>91</v>
      </c>
      <c r="F13" s="102">
        <v>11</v>
      </c>
    </row>
    <row r="14" spans="1:26" ht="21.4" x14ac:dyDescent="0.35">
      <c r="A14" s="104">
        <f>SUMIF(Sheet1!B:B,Sheet7!E14,Sheet1!H:H)</f>
        <v>166586000</v>
      </c>
      <c r="B14" s="104">
        <v>400000000</v>
      </c>
      <c r="C14" s="104">
        <v>400000000</v>
      </c>
      <c r="D14" s="105" t="s">
        <v>1185</v>
      </c>
      <c r="E14" s="106" t="s">
        <v>256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1186</v>
      </c>
      <c r="E15" s="101" t="s">
        <v>304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1187</v>
      </c>
      <c r="E16" s="106" t="s">
        <v>983</v>
      </c>
      <c r="F16" s="107">
        <v>14</v>
      </c>
    </row>
    <row r="17" spans="1:6" ht="21.4" x14ac:dyDescent="0.35">
      <c r="A17" s="99">
        <f>SUMIF(Sheet1!B:B,Sheet7!E17,Sheet1!H:H)</f>
        <v>24709000</v>
      </c>
      <c r="B17" s="99">
        <v>1050000000</v>
      </c>
      <c r="C17" s="99">
        <v>1200000000</v>
      </c>
      <c r="D17" s="100" t="s">
        <v>1188</v>
      </c>
      <c r="E17" s="101" t="s">
        <v>335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1189</v>
      </c>
      <c r="E18" s="106" t="s">
        <v>234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1190</v>
      </c>
      <c r="E19" s="101" t="s">
        <v>170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1191</v>
      </c>
      <c r="E20" s="106" t="s">
        <v>174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1192</v>
      </c>
      <c r="E21" s="101" t="s">
        <v>1193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1194</v>
      </c>
      <c r="E22" s="106" t="s">
        <v>1005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1195</v>
      </c>
      <c r="E23" s="101" t="s">
        <v>1196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1197</v>
      </c>
      <c r="E24" s="106" t="s">
        <v>1198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1199</v>
      </c>
      <c r="E25" s="101" t="s">
        <v>1200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1201</v>
      </c>
      <c r="E26" s="106" t="s">
        <v>1202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1203</v>
      </c>
      <c r="E27" s="101" t="s">
        <v>1204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1205</v>
      </c>
      <c r="E28" s="106" t="s">
        <v>1206</v>
      </c>
      <c r="F28" s="107">
        <v>26</v>
      </c>
    </row>
    <row r="29" spans="1:6" ht="21.4" x14ac:dyDescent="0.35">
      <c r="A29" s="99">
        <f>SUMIF(Sheet1!B:B,Sheet7!E29,Sheet1!H:H)</f>
        <v>118596300</v>
      </c>
      <c r="B29" s="99">
        <v>250000000</v>
      </c>
      <c r="C29" s="99">
        <v>250000000</v>
      </c>
      <c r="D29" s="100" t="s">
        <v>1207</v>
      </c>
      <c r="E29" s="101" t="s">
        <v>356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1208</v>
      </c>
      <c r="E30" s="106" t="s">
        <v>402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1209</v>
      </c>
      <c r="E31" s="101" t="s">
        <v>850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1210</v>
      </c>
      <c r="E32" s="106" t="s">
        <v>415</v>
      </c>
      <c r="F32" s="107">
        <v>30</v>
      </c>
    </row>
    <row r="33" spans="1:6" ht="21.4" x14ac:dyDescent="0.35">
      <c r="A33" s="99">
        <f>SUMIF(Sheet1!B:B,Sheet7!E33,Sheet1!H:H)</f>
        <v>370301500</v>
      </c>
      <c r="B33" s="99">
        <v>315000000</v>
      </c>
      <c r="C33" s="99">
        <v>315000000</v>
      </c>
      <c r="D33" s="100" t="s">
        <v>1211</v>
      </c>
      <c r="E33" s="101" t="s">
        <v>427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1212</v>
      </c>
      <c r="E34" s="106" t="s">
        <v>276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1213</v>
      </c>
      <c r="E35" s="101" t="s">
        <v>666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1214</v>
      </c>
      <c r="E36" s="106" t="s">
        <v>864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1215</v>
      </c>
      <c r="E37" s="101" t="s">
        <v>884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1216</v>
      </c>
      <c r="E38" s="106" t="s">
        <v>1217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1218</v>
      </c>
      <c r="E39" s="101" t="s">
        <v>177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1219</v>
      </c>
      <c r="E40" s="106" t="s">
        <v>1220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1221</v>
      </c>
      <c r="E41" s="101" t="s">
        <v>1222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1223</v>
      </c>
      <c r="E42" s="106" t="s">
        <v>1224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1225</v>
      </c>
      <c r="E43" s="101" t="s">
        <v>1226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1227</v>
      </c>
      <c r="E44" s="106" t="s">
        <v>1228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1229</v>
      </c>
      <c r="E45" s="101" t="s">
        <v>1230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1231</v>
      </c>
      <c r="E46" s="106" t="s">
        <v>1232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13951936187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82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89</v>
      </c>
      <c r="E66" s="102"/>
      <c r="F66" s="102"/>
    </row>
    <row r="67" spans="1:6" ht="22.5" x14ac:dyDescent="0.35">
      <c r="A67" s="99"/>
      <c r="B67" s="118">
        <f t="shared" ref="B67:C67" si="1">B65/B66</f>
        <v>38807065.217391305</v>
      </c>
      <c r="C67" s="118">
        <f t="shared" si="1"/>
        <v>45394021.739130437</v>
      </c>
      <c r="D67" s="119" t="s">
        <v>1233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1234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2026-10-19T14:57:12Z</dcterms:modified>
</cp:coreProperties>
</file>