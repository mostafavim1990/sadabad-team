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2BB70939-BE75-4E2F-9F7D-452BF011CF52}" xr6:coauthVersionLast="47" xr6:coauthVersionMax="47" xr10:uidLastSave="{00000000-0000-0000-0000-000000000000}"/>
  <bookViews>
    <workbookView xWindow="-98" yWindow="-98" windowWidth="22695" windowHeight="14595" activeTab="8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3" roundtripDataChecksum="lh+r+050pCBRwL8iHyvIYObNxzSBSlC/957MJ0QSjcI="/>
    </ext>
  </extLst>
</workbook>
</file>

<file path=xl/calcChain.xml><?xml version="1.0" encoding="utf-8"?>
<calcChain xmlns="http://schemas.openxmlformats.org/spreadsheetml/2006/main">
  <c r="H35" i="12" l="1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H22" i="12"/>
  <c r="G22" i="12"/>
  <c r="F22" i="12"/>
  <c r="H21" i="12"/>
  <c r="G21" i="12"/>
  <c r="F21" i="12"/>
  <c r="H20" i="12"/>
  <c r="G20" i="12"/>
  <c r="F20" i="12"/>
  <c r="H19" i="12"/>
  <c r="G19" i="12"/>
  <c r="F19" i="12"/>
  <c r="H18" i="12"/>
  <c r="G18" i="12"/>
  <c r="F18" i="12"/>
  <c r="H17" i="12"/>
  <c r="G17" i="12"/>
  <c r="F17" i="12"/>
  <c r="H16" i="12"/>
  <c r="G16" i="12"/>
  <c r="F16" i="12"/>
  <c r="H15" i="12"/>
  <c r="G15" i="12"/>
  <c r="F15" i="12"/>
  <c r="H14" i="12"/>
  <c r="G14" i="12"/>
  <c r="F14" i="12"/>
  <c r="H13" i="12"/>
  <c r="G13" i="12"/>
  <c r="F13" i="12"/>
  <c r="H12" i="12"/>
  <c r="G12" i="12"/>
  <c r="F12" i="12"/>
  <c r="H11" i="12"/>
  <c r="G11" i="12"/>
  <c r="F11" i="12"/>
  <c r="H10" i="12"/>
  <c r="G10" i="12"/>
  <c r="F10" i="12"/>
  <c r="H9" i="12"/>
  <c r="G9" i="12"/>
  <c r="F9" i="12"/>
  <c r="H8" i="12"/>
  <c r="G8" i="12"/>
  <c r="F8" i="12"/>
  <c r="H7" i="12"/>
  <c r="G7" i="12"/>
  <c r="F7" i="12"/>
  <c r="H6" i="12"/>
  <c r="G6" i="12"/>
  <c r="F6" i="12"/>
  <c r="H5" i="12"/>
  <c r="G5" i="12"/>
  <c r="F5" i="12"/>
  <c r="H4" i="12"/>
  <c r="G4" i="12"/>
  <c r="F4" i="12"/>
  <c r="H3" i="12"/>
  <c r="J10" i="12" s="1"/>
  <c r="G3" i="12"/>
  <c r="J9" i="12" s="1"/>
  <c r="F3" i="12"/>
  <c r="J8" i="12" s="1"/>
  <c r="H35" i="1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8" i="9" l="1"/>
  <c r="J10" i="9"/>
  <c r="J9" i="9"/>
  <c r="J9" i="8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6" i="12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4" i="12" s="1"/>
  <c r="J15" i="7"/>
  <c r="J13" i="7"/>
  <c r="J15" i="5"/>
  <c r="J13" i="5"/>
  <c r="J5" i="8" l="1"/>
  <c r="J14" i="7"/>
  <c r="J14" i="8" l="1"/>
  <c r="J5" i="9"/>
  <c r="J5" i="10" s="1"/>
  <c r="J5" i="11" s="1"/>
  <c r="J5" i="12" s="1"/>
  <c r="J15" i="8"/>
  <c r="J13" i="8"/>
  <c r="J14" i="12" l="1"/>
  <c r="J13" i="12"/>
  <c r="J15" i="12"/>
  <c r="J14" i="1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<sst xmlns="http://schemas.openxmlformats.org/spreadsheetml/2006/main" count="1026" uniqueCount="325">
  <si>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</si>
  <si>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</si>
  <si>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</si>
  <si>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</si>
  <si>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</si>
  <si>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</si>
  <si>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</si>
  <si>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</si>
  <si>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</si>
  <si>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</si>
  <si>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</si>
  <si>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</si>
  <si>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</si>
  <si>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</si>
  <si>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</si>
  <si>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</si>
  <si>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</si>
  <si>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</si>
  <si>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</si>
  <si>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</si>
  <si>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</si>
  <si>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</si>
  <si>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</si>
  <si>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</si>
  <si>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</si>
  <si>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</si>
  <si>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</si>
  <si>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</si>
  <si>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</si>
  <si>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</si>
  <si>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</si>
  <si>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</si>
  <si>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</si>
  <si>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</si>
  <si>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</si>
  <si>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</si>
  <si>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</si>
  <si>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</si>
  <si>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</si>
  <si>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</si>
  <si>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</si>
  <si>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</si>
  <si>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</si>
  <si>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</si>
  <si>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</si>
  <si>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</si>
  <si>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</si>
  <si>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</si>
  <si>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</si>
  <si>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</si>
  <si>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</si>
  <si>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</si>
  <si>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</si>
  <si>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</si>
  <si>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</si>
  <si>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</si>
  <si>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</si>
  <si>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</si>
  <si>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</si>
  <si>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</si>
  <si>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</si>
  <si>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</si>
  <si>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</si>
  <si>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</si>
  <si>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</si>
  <si>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</si>
  <si>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</si>
  <si>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</si>
  <si>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</si>
  <si>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</si>
  <si>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</si>
  <si>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</si>
  <si>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</si>
  <si>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</si>
  <si>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</si>
  <si>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</si>
  <si>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</si>
  <si>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</si>
  <si>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</si>
  <si>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</si>
  <si>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</si>
  <si>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</si>
  <si>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</si>
  <si>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</si>
  <si>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</si>
  <si>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</si>
  <si>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</si>
  <si>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</si>
  <si>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</si>
  <si>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</si>
  <si>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</si>
  <si>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</si>
  <si>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</si>
  <si>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</si>
  <si>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</si>
  <si>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</si>
  <si>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</si>
  <si>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</si>
  <si>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</si>
  <si>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</si>
  <si>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</si>
  <si>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</si>
  <si>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</si>
  <si>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</si>
  <si>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</si>
  <si>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</si>
  <si>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</si>
  <si>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</si>
  <si>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</si>
  <si>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</si>
  <si>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</si>
  <si>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</si>
  <si>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</si>
  <si>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</si>
  <si>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</si>
  <si>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</si>
  <si>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</si>
  <si>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</si>
  <si>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</si>
  <si>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</si>
  <si>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</si>
  <si>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</si>
  <si>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</si>
  <si>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</si>
  <si>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</si>
  <si>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</si>
  <si>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</si>
  <si>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</si>
  <si>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</si>
  <si>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</si>
  <si>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</si>
  <si>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</si>
  <si>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</si>
  <si>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</si>
  <si>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</si>
  <si>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</si>
  <si>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</si>
  <si>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</si>
  <si>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</si>
  <si>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</si>
  <si>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</si>
  <si>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</si>
  <si>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</si>
  <si>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</si>
  <si>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</si>
  <si>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</si>
  <si>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</si>
  <si>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</si>
  <si>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</si>
  <si>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</si>
  <si>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</si>
  <si>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</si>
  <si>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</si>
  <si>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</si>
  <si>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</si>
  <si>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</si>
  <si>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</si>
  <si>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</si>
  <si>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</si>
  <si>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</si>
  <si>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</si>
  <si>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</si>
  <si>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</si>
  <si>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</si>
  <si>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</si>
  <si>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</si>
  <si>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</si>
  <si>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</si>
  <si>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</si>
  <si>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</si>
  <si>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</si>
  <si>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</si>
  <si>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</si>
  <si>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</si>
  <si>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</si>
  <si>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</si>
  <si>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</si>
  <si>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</si>
  <si>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</si>
  <si>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</si>
  <si>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</si>
  <si>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</si>
  <si>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</si>
  <si>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</si>
  <si>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</si>
  <si>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</si>
  <si>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</si>
  <si>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</si>
  <si>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</si>
  <si>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</si>
  <si>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</si>
  <si>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</si>
  <si>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</si>
  <si>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</si>
  <si>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</si>
  <si>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</si>
  <si>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</si>
  <si>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</si>
  <si>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</si>
  <si>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</si>
  <si>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</si>
  <si>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</si>
  <si>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</si>
  <si>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</si>
  <si>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</si>
  <si>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</si>
  <si>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</si>
  <si>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</si>
  <si>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</si>
  <si>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</si>
  <si>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</si>
  <si>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</si>
  <si>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</si>
  <si>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</si>
  <si>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</si>
  <si>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</si>
  <si>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</si>
  <si>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</si>
  <si>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</si>
  <si>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</si>
  <si>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</si>
  <si>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</si>
  <si>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</si>
  <si>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</si>
  <si>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</si>
  <si>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</si>
  <si>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</si>
  <si>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</si>
  <si>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</si>
  <si>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</si>
  <si>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</si>
  <si>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</si>
  <si>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</si>
  <si>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</si>
  <si>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</si>
  <si>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</si>
  <si>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</si>
  <si>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</si>
  <si>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</si>
  <si>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</si>
  <si>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</si>
  <si>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</si>
  <si>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</si>
  <si>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</si>
  <si>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</si>
  <si>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</si>
  <si>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</si>
  <si>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</si>
  <si>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</si>
  <si>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</si>
  <si>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</si>
  <si>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</si>
  <si>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</si>
  <si>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</si>
  <si>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</si>
  <si>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</si>
  <si>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</si>
  <si>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</si>
  <si>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</si>
  <si>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</si>
  <si>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</si>
  <si>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</si>
  <si>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</si>
  <si>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</si>
  <si>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</si>
  <si>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</si>
  <si>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</si>
  <si>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</si>
  <si>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</si>
  <si>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</si>
  <si>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</si>
  <si>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</si>
  <si>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</si>
  <si>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</si>
  <si>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</si>
  <si>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</si>
  <si>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</si>
  <si>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</si>
  <si>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</si>
  <si>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</si>
  <si>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</si>
  <si>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</si>
  <si>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</si>
  <si>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</si>
  <si>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</si>
  <si>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</si>
  <si>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</si>
  <si>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</si>
  <si>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</si>
  <si>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</si>
  <si>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</si>
  <si>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</si>
  <si>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</si>
  <si>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</si>
  <si>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</si>
  <si>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</si>
  <si>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</si>
  <si>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</si>
  <si>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</si>
  <si>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</si>
  <si>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</si>
  <si>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</si>
  <si>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</si>
  <si>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</si>
  <si>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</si>
  <si>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</si>
  <si>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</si>
  <si>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</si>
  <si>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پولی که حسین دماوندی به محمد بدهکار بود و از حساب روزمزدش کسر شده</t>
  </si>
  <si>
    <t>1405/07/30</t>
  </si>
  <si>
    <t>1405/07/17</t>
  </si>
  <si>
    <t>1405/07/29</t>
  </si>
  <si>
    <t xml:space="preserve">پرداخت به حساب امید مصطفوی- حقوق </t>
  </si>
  <si>
    <t>بدهی حسین دماوندی به محمد که از روزمزد روز دومش کسر شده</t>
  </si>
  <si>
    <t>1405/08/01</t>
  </si>
  <si>
    <t>بدهی حسین دماوندی به محمد از دستمزد روز سومش کسر شد</t>
  </si>
  <si>
    <t>تراز مالی شرکت - بهمن -  سال 1405</t>
  </si>
  <si>
    <t>مانده ی سرمایه آورده</t>
  </si>
  <si>
    <t>مانده ی سرمایه ی آورده</t>
  </si>
  <si>
    <t>مانده سرمایه آورده</t>
  </si>
  <si>
    <t>1405/08/03</t>
  </si>
  <si>
    <t>بدهی حسین دماوندی به محمد از دستمزد روز چهارم و پنجمش کسر شد</t>
  </si>
  <si>
    <t xml:space="preserve">برداشت داود بابت حقوق </t>
  </si>
  <si>
    <t>1405/08/04</t>
  </si>
  <si>
    <t>خرید صبحانه برای دو کارگر بالابر چیت سازی توسط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</si>
</sst>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49" fontId="9" fillId="0" borderId="4" xfId="0" applyNumberFormat="1" applyFont="1" applyBorder="1" applyAlignment="1">
      <alignment horizontal="right" vertical="center" wrapText="1" readingOrder="2"/>
    </xf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2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66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A5" sqref="A5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3" t="s">
        <v>0</v>
      </c>
      <c r="B1" s="114"/>
      <c r="C1" s="114"/>
      <c r="D1" s="114"/>
      <c r="E1" s="114"/>
      <c r="F1" s="114"/>
      <c r="G1" s="114"/>
      <c r="H1" s="114"/>
      <c r="I1" s="114"/>
      <c r="J1" s="11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6" t="s">
        <v>12</v>
      </c>
      <c r="J2" s="11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23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26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27</v>
      </c>
      <c r="B5" s="52" t="s">
        <v>28</v>
      </c>
      <c r="C5" s="53">
        <v>1000000</v>
      </c>
      <c r="D5" s="54" t="s">
        <v>29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30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32</v>
      </c>
      <c r="B6" s="52" t="s">
        <v>33</v>
      </c>
      <c r="C6" s="53">
        <v>654000</v>
      </c>
      <c r="D6" s="54" t="s">
        <v>29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38</v>
      </c>
      <c r="B7" s="52" t="s">
        <v>39</v>
      </c>
      <c r="C7" s="53">
        <v>580000</v>
      </c>
      <c r="D7" s="54" t="s">
        <v>29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7" t="s">
        <v>271</v>
      </c>
      <c r="J7" s="11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43</v>
      </c>
      <c r="B8" s="52" t="s">
        <v>44</v>
      </c>
      <c r="C8" s="53">
        <v>1700000</v>
      </c>
      <c r="D8" s="54" t="s">
        <v>29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45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51</v>
      </c>
      <c r="B9" s="52" t="s">
        <v>52</v>
      </c>
      <c r="C9" s="53">
        <v>7000000</v>
      </c>
      <c r="D9" s="54" t="s">
        <v>29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55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56</v>
      </c>
      <c r="B10" s="52" t="s">
        <v>57</v>
      </c>
      <c r="C10" s="53">
        <v>3300000</v>
      </c>
      <c r="D10" s="54" t="s">
        <v>29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61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62</v>
      </c>
      <c r="B11" s="52" t="s">
        <v>63</v>
      </c>
      <c r="C11" s="53">
        <v>15000000</v>
      </c>
      <c r="D11" s="54" t="s">
        <v>29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56</v>
      </c>
      <c r="B12" s="52" t="s">
        <v>67</v>
      </c>
      <c r="C12" s="53">
        <v>70000000</v>
      </c>
      <c r="D12" s="54" t="s">
        <v>29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68</v>
      </c>
      <c r="B13" s="52" t="s">
        <v>69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68</v>
      </c>
      <c r="B14" s="52" t="s">
        <v>74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8" t="s">
        <v>75</v>
      </c>
      <c r="J14" s="11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77</v>
      </c>
      <c r="B15" s="52" t="s">
        <v>79</v>
      </c>
      <c r="C15" s="53">
        <v>182000</v>
      </c>
      <c r="D15" s="54" t="s">
        <v>29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82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77</v>
      </c>
      <c r="B16" s="52" t="s">
        <v>83</v>
      </c>
      <c r="C16" s="53">
        <v>2250000</v>
      </c>
      <c r="D16" s="54" t="s">
        <v>29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85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77</v>
      </c>
      <c r="B17" s="52" t="s">
        <v>88</v>
      </c>
      <c r="C17" s="53">
        <v>2250000</v>
      </c>
      <c r="D17" s="54" t="s">
        <v>29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89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91</v>
      </c>
      <c r="B18" s="52" t="s">
        <v>92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91</v>
      </c>
      <c r="B19" s="52" t="s">
        <v>97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91</v>
      </c>
      <c r="B20" s="52" t="s">
        <v>98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91</v>
      </c>
      <c r="B21" s="52" t="s">
        <v>102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91</v>
      </c>
      <c r="B22" s="52" t="s">
        <v>105</v>
      </c>
      <c r="C22" s="53">
        <v>23016300</v>
      </c>
      <c r="D22" s="54" t="s">
        <v>29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110</v>
      </c>
      <c r="B23" s="52" t="s">
        <v>111</v>
      </c>
      <c r="C23" s="53">
        <v>10000</v>
      </c>
      <c r="D23" s="54" t="s">
        <v>29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110</v>
      </c>
      <c r="B24" s="52" t="s">
        <v>113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110</v>
      </c>
      <c r="B25" s="62" t="s">
        <v>115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110</v>
      </c>
      <c r="B26" s="52" t="s">
        <v>118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123</v>
      </c>
      <c r="B27" s="52" t="s">
        <v>118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126</v>
      </c>
      <c r="B28" s="52" t="s">
        <v>127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126</v>
      </c>
      <c r="B29" s="52" t="s">
        <v>131</v>
      </c>
      <c r="C29" s="53">
        <v>182000</v>
      </c>
      <c r="D29" s="54" t="s">
        <v>29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126</v>
      </c>
      <c r="B30" s="52" t="s">
        <v>133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126</v>
      </c>
      <c r="B31" s="52" t="s">
        <v>137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126</v>
      </c>
      <c r="B32" s="52" t="s">
        <v>139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142</v>
      </c>
      <c r="B33" s="52" t="s">
        <v>143</v>
      </c>
      <c r="C33" s="53">
        <v>15000000</v>
      </c>
      <c r="D33" s="54" t="s">
        <v>29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142</v>
      </c>
      <c r="B34" s="52" t="s">
        <v>147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142</v>
      </c>
      <c r="B35" s="52" t="s">
        <v>147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142</v>
      </c>
      <c r="B36" s="52" t="s">
        <v>147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151</v>
      </c>
      <c r="B37" s="52" t="s">
        <v>152</v>
      </c>
      <c r="C37" s="53">
        <v>5000000</v>
      </c>
      <c r="D37" s="54" t="s">
        <v>29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151</v>
      </c>
      <c r="B38" s="52" t="s">
        <v>154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151</v>
      </c>
      <c r="B39" s="52" t="s">
        <v>154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151</v>
      </c>
      <c r="B40" s="52" t="s">
        <v>154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156</v>
      </c>
      <c r="B41" s="52" t="s">
        <v>157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156</v>
      </c>
      <c r="B42" s="52" t="s">
        <v>159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156</v>
      </c>
      <c r="B43" s="64" t="s">
        <v>157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161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165</v>
      </c>
      <c r="C45" s="53">
        <v>500000000</v>
      </c>
      <c r="D45" s="54" t="s">
        <v>29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168</v>
      </c>
      <c r="C46" s="53">
        <v>200000000</v>
      </c>
      <c r="D46" s="54" t="s">
        <v>29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170</v>
      </c>
      <c r="C47" s="53">
        <v>100000000</v>
      </c>
      <c r="D47" s="54" t="s">
        <v>29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171</v>
      </c>
      <c r="C48" s="53">
        <v>20300000</v>
      </c>
      <c r="D48" s="54" t="s">
        <v>29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174</v>
      </c>
      <c r="C49" s="53">
        <v>63600000</v>
      </c>
      <c r="D49" s="54" t="s">
        <v>29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175</v>
      </c>
      <c r="B50" s="52" t="s">
        <v>178</v>
      </c>
      <c r="C50" s="53">
        <v>200000000</v>
      </c>
      <c r="D50" s="54" t="s">
        <v>29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56</v>
      </c>
      <c r="B51" s="52" t="s">
        <v>179</v>
      </c>
      <c r="C51" s="53">
        <v>200000000</v>
      </c>
      <c r="D51" s="54" t="s">
        <v>29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38</v>
      </c>
      <c r="B52" s="52" t="s">
        <v>178</v>
      </c>
      <c r="C52" s="53">
        <v>70000000</v>
      </c>
      <c r="D52" s="54" t="s">
        <v>29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182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185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187</v>
      </c>
      <c r="C56" s="53">
        <v>1009960000</v>
      </c>
      <c r="D56" s="54" t="s">
        <v>29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188</v>
      </c>
      <c r="C57" s="53">
        <v>326000000</v>
      </c>
      <c r="D57" s="54" t="s">
        <v>29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189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190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191</v>
      </c>
      <c r="B62" s="52" t="s">
        <v>192</v>
      </c>
      <c r="C62" s="53">
        <v>914000000</v>
      </c>
      <c r="D62" s="54" t="s">
        <v>29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193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31" priority="1" operator="lessThan">
      <formula>0</formula>
    </cfRule>
  </conditionalFormatting>
  <conditionalFormatting sqref="J3">
    <cfRule type="cellIs" dxfId="30" priority="2" operator="greaterThan">
      <formula>0</formula>
    </cfRule>
  </conditionalFormatting>
  <conditionalFormatting sqref="J5">
    <cfRule type="cellIs" dxfId="29" priority="3" operator="lessThan">
      <formula>0</formula>
    </cfRule>
  </conditionalFormatting>
  <conditionalFormatting sqref="J5">
    <cfRule type="cellIs" dxfId="28" priority="4" operator="greaterThan">
      <formula>0</formula>
    </cfRule>
  </conditionalFormatting>
  <conditionalFormatting sqref="J4">
    <cfRule type="cellIs" dxfId="27" priority="5" operator="greaterThan">
      <formula>0</formula>
    </cfRule>
  </conditionalFormatting>
  <conditionalFormatting sqref="J4">
    <cfRule type="cellIs" dxfId="26" priority="6" operator="lessThan">
      <formula>0</formula>
    </cfRule>
  </conditionalFormatting>
  <conditionalFormatting sqref="D1:D1000">
    <cfRule type="cellIs" dxfId="25" priority="7" operator="equal">
      <formula>"پرداخت"</formula>
    </cfRule>
  </conditionalFormatting>
  <conditionalFormatting sqref="D1:D1000">
    <cfRule type="cellIs" dxfId="24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9" t="s">
        <v>1</v>
      </c>
      <c r="B1" s="114"/>
      <c r="C1" s="114"/>
      <c r="D1" s="114"/>
      <c r="E1" s="114"/>
      <c r="F1" s="114"/>
      <c r="G1" s="114"/>
      <c r="H1" s="114"/>
      <c r="I1" s="114"/>
      <c r="J1" s="115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20" t="s">
        <v>319</v>
      </c>
      <c r="J3" s="12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31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40</v>
      </c>
      <c r="B5" s="92" t="s">
        <v>41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40</v>
      </c>
      <c r="B6" s="92" t="s">
        <v>49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59</v>
      </c>
      <c r="B7" s="92" t="s">
        <v>60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20" t="s">
        <v>50</v>
      </c>
      <c r="J7" s="12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59</v>
      </c>
      <c r="B8" s="92" t="s">
        <v>66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59</v>
      </c>
      <c r="B9" s="92" t="s">
        <v>81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26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86</v>
      </c>
      <c r="B10" s="92" t="s">
        <v>87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30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95</v>
      </c>
      <c r="B11" s="92" t="s">
        <v>96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95</v>
      </c>
      <c r="B12" s="92" t="s">
        <v>99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2" t="s">
        <v>271</v>
      </c>
      <c r="J12" s="115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106</v>
      </c>
      <c r="B13" s="92" t="s">
        <v>107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45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106</v>
      </c>
      <c r="B14" s="92" t="s">
        <v>117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55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106</v>
      </c>
      <c r="B15" s="92" t="s">
        <v>128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61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136</v>
      </c>
      <c r="B16" s="92" t="s">
        <v>138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136</v>
      </c>
      <c r="B17" s="92" t="s">
        <v>141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3" priority="1" operator="equal">
      <formula>"پرداخت"</formula>
    </cfRule>
  </conditionalFormatting>
  <conditionalFormatting sqref="D1:D1000">
    <cfRule type="cellIs" dxfId="2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9" t="s">
        <v>2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24</v>
      </c>
      <c r="B4" s="32" t="s">
        <v>25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36</v>
      </c>
      <c r="B5" s="32" t="s">
        <v>37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36</v>
      </c>
      <c r="B6" s="32" t="s">
        <v>42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36</v>
      </c>
      <c r="B7" s="32" t="s">
        <v>47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53</v>
      </c>
      <c r="B8" s="32" t="s">
        <v>54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64</v>
      </c>
      <c r="B9" s="32" t="s">
        <v>65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26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72</v>
      </c>
      <c r="B10" s="32" t="s">
        <v>73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72</v>
      </c>
      <c r="B11" s="32" t="s">
        <v>80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72</v>
      </c>
      <c r="B12" s="32" t="s">
        <v>84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93</v>
      </c>
      <c r="B13" s="32" t="s">
        <v>94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103</v>
      </c>
      <c r="B14" s="32" t="s">
        <v>104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55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103</v>
      </c>
      <c r="B15" s="32" t="s">
        <v>112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61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103</v>
      </c>
      <c r="B16" s="32" t="s">
        <v>116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121</v>
      </c>
      <c r="B17" s="32" t="s">
        <v>122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124</v>
      </c>
      <c r="B18" s="32" t="s">
        <v>125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129</v>
      </c>
      <c r="B19" s="32" t="s">
        <v>130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129</v>
      </c>
      <c r="B20" s="32" t="s">
        <v>135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129</v>
      </c>
      <c r="B21" s="32" t="s">
        <v>140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144</v>
      </c>
      <c r="B22" s="32" t="s">
        <v>145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148</v>
      </c>
      <c r="B23" s="32" t="s">
        <v>149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150</v>
      </c>
      <c r="B24" s="32" t="s">
        <v>118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9" t="s">
        <v>3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34</v>
      </c>
      <c r="B4" s="32" t="s">
        <v>35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46</v>
      </c>
      <c r="B5" s="32" t="s">
        <v>48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46</v>
      </c>
      <c r="B6" s="32" t="s">
        <v>58</v>
      </c>
      <c r="C6" s="33">
        <f>1200000+254000+589000+150000+4885000</f>
        <v>7078000</v>
      </c>
      <c r="D6" s="32" t="s">
        <v>29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70</v>
      </c>
      <c r="B7" s="32" t="s">
        <v>71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76</v>
      </c>
      <c r="B8" s="32" t="s">
        <v>78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76</v>
      </c>
      <c r="B9" s="32" t="s">
        <v>90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100</v>
      </c>
      <c r="B10" s="32" t="s">
        <v>101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108</v>
      </c>
      <c r="B11" s="32" t="s">
        <v>109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114</v>
      </c>
      <c r="B12" s="32" t="s">
        <v>71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119</v>
      </c>
      <c r="B13" s="32" t="s">
        <v>120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132</v>
      </c>
      <c r="B14" s="32" t="s">
        <v>134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55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132</v>
      </c>
      <c r="B15" s="32" t="s">
        <v>146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61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153</v>
      </c>
      <c r="B16" s="32" t="s">
        <v>71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153</v>
      </c>
      <c r="B17" s="32" t="s">
        <v>155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153</v>
      </c>
      <c r="B18" s="32" t="s">
        <v>158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153</v>
      </c>
      <c r="B19" s="32" t="s">
        <v>160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162</v>
      </c>
      <c r="B20" s="32" t="s">
        <v>163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162</v>
      </c>
      <c r="B21" s="32" t="s">
        <v>164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166</v>
      </c>
      <c r="B22" s="32" t="s">
        <v>167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166</v>
      </c>
      <c r="B23" s="32" t="s">
        <v>169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172</v>
      </c>
      <c r="B24" s="32" t="s">
        <v>173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176</v>
      </c>
      <c r="B25" s="105" t="s">
        <v>177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180</v>
      </c>
      <c r="B26" s="32" t="s">
        <v>181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183</v>
      </c>
      <c r="B27" s="46" t="s">
        <v>184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183</v>
      </c>
      <c r="B28" s="46" t="s">
        <v>186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194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195</v>
      </c>
      <c r="B3" s="32" t="s">
        <v>196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3" t="s">
        <v>317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197</v>
      </c>
      <c r="B4" s="32" t="s">
        <v>198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199</v>
      </c>
      <c r="B5" s="32" t="s">
        <v>200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199</v>
      </c>
      <c r="B6" s="32" t="s">
        <v>201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202</v>
      </c>
      <c r="B7" s="32" t="s">
        <v>203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202</v>
      </c>
      <c r="B8" s="32" t="s">
        <v>204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205</v>
      </c>
      <c r="B9" s="32" t="s">
        <v>206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207</v>
      </c>
      <c r="B10" s="32" t="s">
        <v>208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207</v>
      </c>
      <c r="B11" s="32" t="s">
        <v>209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207</v>
      </c>
      <c r="B12" s="32" t="s">
        <v>210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212</v>
      </c>
      <c r="B13" s="32" t="s">
        <v>213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212</v>
      </c>
      <c r="B14" s="32" t="s">
        <v>215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55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217</v>
      </c>
      <c r="B15" s="32" t="s">
        <v>218</v>
      </c>
      <c r="C15" s="33">
        <v>5000000</v>
      </c>
      <c r="D15" s="32" t="s">
        <v>29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61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219</v>
      </c>
      <c r="B16" s="32" t="s">
        <v>220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219</v>
      </c>
      <c r="B17" s="32" t="s">
        <v>221</v>
      </c>
      <c r="C17" s="33">
        <v>23200000</v>
      </c>
      <c r="D17" s="32" t="s">
        <v>29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222</v>
      </c>
      <c r="B18" s="32" t="s">
        <v>223</v>
      </c>
      <c r="C18" s="33">
        <v>14000000</v>
      </c>
      <c r="D18" s="32" t="s">
        <v>29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224</v>
      </c>
      <c r="B19" s="32" t="s">
        <v>225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224</v>
      </c>
      <c r="B20" s="32" t="s">
        <v>226</v>
      </c>
      <c r="C20" s="33">
        <v>200000</v>
      </c>
      <c r="D20" s="32" t="s">
        <v>29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227</v>
      </c>
      <c r="B21" s="32" t="s">
        <v>228</v>
      </c>
      <c r="C21" s="33">
        <v>6000000</v>
      </c>
      <c r="D21" s="32" t="s">
        <v>29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230</v>
      </c>
      <c r="B22" s="32" t="s">
        <v>231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230</v>
      </c>
      <c r="B23" s="32" t="s">
        <v>232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230</v>
      </c>
      <c r="B24" s="32" t="s">
        <v>233</v>
      </c>
      <c r="C24" s="33">
        <v>1530000</v>
      </c>
      <c r="D24" s="32" t="s">
        <v>29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235</v>
      </c>
      <c r="B25" s="32" t="s">
        <v>236</v>
      </c>
      <c r="C25" s="33">
        <v>50000</v>
      </c>
      <c r="D25" s="32" t="s">
        <v>29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238</v>
      </c>
      <c r="B26" s="32" t="s">
        <v>239</v>
      </c>
      <c r="C26" s="33">
        <v>380000</v>
      </c>
      <c r="D26" s="32" t="s">
        <v>29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240</v>
      </c>
      <c r="B27" s="32" t="s">
        <v>241</v>
      </c>
      <c r="C27" s="33">
        <v>1500000</v>
      </c>
      <c r="D27" s="32" t="s">
        <v>29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244</v>
      </c>
      <c r="B28" s="32" t="s">
        <v>245</v>
      </c>
      <c r="C28" s="33">
        <v>150000</v>
      </c>
      <c r="D28" s="32" t="s">
        <v>29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244</v>
      </c>
      <c r="B29" s="32" t="s">
        <v>246</v>
      </c>
      <c r="C29" s="33">
        <v>150000</v>
      </c>
      <c r="D29" s="32" t="s">
        <v>29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244</v>
      </c>
      <c r="B30" s="32" t="s">
        <v>249</v>
      </c>
      <c r="C30" s="33">
        <v>200000</v>
      </c>
      <c r="D30" s="32" t="s">
        <v>29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244</v>
      </c>
      <c r="B31" s="32" t="s">
        <v>250</v>
      </c>
      <c r="C31" s="33">
        <v>2500000</v>
      </c>
      <c r="D31" s="32" t="s">
        <v>29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244</v>
      </c>
      <c r="B32" s="32" t="s">
        <v>251</v>
      </c>
      <c r="C32" s="33">
        <v>400000</v>
      </c>
      <c r="D32" s="32" t="s">
        <v>29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211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214</v>
      </c>
      <c r="B3" s="32" t="s">
        <v>216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214</v>
      </c>
      <c r="B4" s="32" t="s">
        <v>229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214</v>
      </c>
      <c r="B5" s="32" t="s">
        <v>234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214</v>
      </c>
      <c r="B6" s="32" t="s">
        <v>237</v>
      </c>
      <c r="C6" s="33">
        <v>3690000</v>
      </c>
      <c r="D6" s="32" t="s">
        <v>29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242</v>
      </c>
      <c r="B7" s="32" t="s">
        <v>243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247</v>
      </c>
      <c r="B8" s="32" t="s">
        <v>248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247</v>
      </c>
      <c r="B9" s="32" t="s">
        <v>252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26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253</v>
      </c>
      <c r="B10" s="32" t="s">
        <v>254</v>
      </c>
      <c r="C10" s="33">
        <v>56100</v>
      </c>
      <c r="D10" s="32" t="s">
        <v>29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30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255</v>
      </c>
      <c r="B11" s="32" t="s">
        <v>256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255</v>
      </c>
      <c r="B12" s="32" t="s">
        <v>257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258</v>
      </c>
      <c r="B13" s="32" t="s">
        <v>259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258</v>
      </c>
      <c r="B14" s="32" t="s">
        <v>261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55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262</v>
      </c>
      <c r="B15" s="32" t="s">
        <v>263</v>
      </c>
      <c r="C15" s="33">
        <f>525000+43000</f>
        <v>568000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61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264</v>
      </c>
      <c r="B16" s="32" t="s">
        <v>265</v>
      </c>
      <c r="C16" s="33">
        <v>400000</v>
      </c>
      <c r="D16" s="32" t="s">
        <v>29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266</v>
      </c>
      <c r="B17" s="32" t="s">
        <v>267</v>
      </c>
      <c r="C17" s="33">
        <v>40000</v>
      </c>
      <c r="D17" s="32" t="s">
        <v>29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268</v>
      </c>
      <c r="B18" s="32" t="s">
        <v>269</v>
      </c>
      <c r="C18" s="33">
        <v>74000</v>
      </c>
      <c r="D18" s="32" t="s">
        <v>29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273</v>
      </c>
      <c r="B19" s="32" t="s">
        <v>275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273</v>
      </c>
      <c r="B20" s="32" t="s">
        <v>274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273</v>
      </c>
      <c r="B21" s="32" t="s">
        <v>276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273</v>
      </c>
      <c r="B22" s="32" t="s">
        <v>277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280</v>
      </c>
      <c r="B23" s="44" t="s">
        <v>281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280</v>
      </c>
      <c r="B24" s="32" t="s">
        <v>282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280</v>
      </c>
      <c r="B25" s="32" t="s">
        <v>286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5" priority="1" operator="equal">
      <formula>"پرداخت"</formula>
    </cfRule>
  </conditionalFormatting>
  <conditionalFormatting sqref="D1:D2 D8:D1000">
    <cfRule type="cellIs" dxfId="14" priority="2" operator="equal">
      <formula>"برداشت"</formula>
    </cfRule>
  </conditionalFormatting>
  <conditionalFormatting sqref="D3:D7">
    <cfRule type="cellIs" dxfId="13" priority="3" operator="equal">
      <formula>"پرداخت"</formula>
    </cfRule>
  </conditionalFormatting>
  <conditionalFormatting sqref="D3:D7">
    <cfRule type="cellIs" dxfId="12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9" t="s">
        <v>260</v>
      </c>
      <c r="B1" s="114"/>
      <c r="C1" s="114"/>
      <c r="D1" s="114"/>
      <c r="E1" s="114"/>
      <c r="F1" s="114"/>
      <c r="G1" s="114"/>
      <c r="H1" s="114"/>
      <c r="I1" s="114"/>
      <c r="J1" s="115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278</v>
      </c>
      <c r="B3" s="32" t="s">
        <v>279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5" t="s">
        <v>319</v>
      </c>
      <c r="J3" s="12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278</v>
      </c>
      <c r="B4" s="32" t="s">
        <v>283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278</v>
      </c>
      <c r="B5" s="32" t="s">
        <v>284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287</v>
      </c>
      <c r="B6" s="32" t="s">
        <v>288</v>
      </c>
      <c r="C6" s="33">
        <v>500000</v>
      </c>
      <c r="D6" s="32" t="s">
        <v>29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289</v>
      </c>
      <c r="B7" s="32" t="s">
        <v>290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7" t="s">
        <v>50</v>
      </c>
      <c r="J7" s="128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289</v>
      </c>
      <c r="B8" s="32" t="s">
        <v>291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292</v>
      </c>
      <c r="B9" s="32" t="s">
        <v>293</v>
      </c>
      <c r="C9" s="33">
        <v>500300</v>
      </c>
      <c r="D9" s="32" t="s">
        <v>29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26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294</v>
      </c>
      <c r="B10" s="32" t="s">
        <v>295</v>
      </c>
      <c r="C10" s="33">
        <v>20002000</v>
      </c>
      <c r="D10" s="32" t="s">
        <v>29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30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296</v>
      </c>
      <c r="B11" s="32" t="s">
        <v>297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298</v>
      </c>
      <c r="B12" s="32" t="s">
        <v>299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300</v>
      </c>
      <c r="B13" s="32" t="s">
        <v>301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302</v>
      </c>
      <c r="B14" s="32" t="s">
        <v>303</v>
      </c>
      <c r="C14" s="33">
        <v>100000</v>
      </c>
      <c r="D14" s="32" t="s">
        <v>29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55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304</v>
      </c>
      <c r="B15" s="32" t="s">
        <v>305</v>
      </c>
      <c r="C15" s="33">
        <v>182000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61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11" priority="1" operator="equal">
      <formula>"پرداخت"</formula>
    </cfRule>
  </conditionalFormatting>
  <conditionalFormatting sqref="D1:D1000">
    <cfRule type="cellIs" dxfId="1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270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2" t="s">
        <v>310</v>
      </c>
      <c r="B3" s="32" t="s">
        <v>234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2" t="s">
        <v>311</v>
      </c>
      <c r="B4" s="32" t="s">
        <v>307</v>
      </c>
      <c r="C4" s="33">
        <v>887000</v>
      </c>
      <c r="D4" s="32" t="s">
        <v>29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2" t="s">
        <v>311</v>
      </c>
      <c r="B5" s="32" t="s">
        <v>308</v>
      </c>
      <c r="C5" s="33">
        <v>700000</v>
      </c>
      <c r="D5" s="32" t="s">
        <v>29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2" t="s">
        <v>309</v>
      </c>
      <c r="B6" s="32" t="s">
        <v>312</v>
      </c>
      <c r="C6" s="33">
        <v>50000000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-50000000</v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2" t="s">
        <v>309</v>
      </c>
      <c r="B7" s="32" t="s">
        <v>313</v>
      </c>
      <c r="C7" s="33">
        <v>700000</v>
      </c>
      <c r="D7" s="32" t="s">
        <v>29</v>
      </c>
      <c r="E7" s="32" t="s">
        <v>10</v>
      </c>
      <c r="F7" s="34">
        <f t="shared" si="0"/>
        <v>0</v>
      </c>
      <c r="G7" s="35">
        <f t="shared" si="1"/>
        <v>700000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2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2287000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767534496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640407996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tabSelected="1" workbookViewId="0">
      <selection activeCell="F7" sqref="F7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272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12" t="s">
        <v>314</v>
      </c>
      <c r="B3" s="32" t="s">
        <v>315</v>
      </c>
      <c r="C3" s="33">
        <v>700000</v>
      </c>
      <c r="D3" s="32" t="s">
        <v>29</v>
      </c>
      <c r="E3" s="32" t="s">
        <v>10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700000</v>
      </c>
      <c r="H3" s="34">
        <f t="shared" ref="H3:H35" si="2">IF($D3="","",IF($E3="امید",IF($D3="برداشت",- $C3, $C3),0))</f>
        <v>0</v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12" t="s">
        <v>314</v>
      </c>
      <c r="B4" s="32" t="s">
        <v>216</v>
      </c>
      <c r="C4" s="33">
        <v>50000000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-50000000</v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12" t="s">
        <v>320</v>
      </c>
      <c r="B5" s="32" t="s">
        <v>321</v>
      </c>
      <c r="C5" s="33">
        <v>1400000</v>
      </c>
      <c r="D5" s="32" t="s">
        <v>29</v>
      </c>
      <c r="E5" s="32" t="s">
        <v>10</v>
      </c>
      <c r="F5" s="34">
        <f t="shared" si="0"/>
        <v>0</v>
      </c>
      <c r="G5" s="35">
        <f t="shared" si="1"/>
        <v>1400000</v>
      </c>
      <c r="H5" s="34">
        <f t="shared" si="2"/>
        <v>0</v>
      </c>
      <c r="I5" s="36" t="s">
        <v>10</v>
      </c>
      <c r="J5" s="37">
        <f>Sheet8!J5+Sheet8!J9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12" t="s">
        <v>320</v>
      </c>
      <c r="B6" s="32" t="s">
        <v>322</v>
      </c>
      <c r="C6" s="33">
        <v>10000000</v>
      </c>
      <c r="D6" s="32" t="s">
        <v>19</v>
      </c>
      <c r="E6" s="32" t="s">
        <v>9</v>
      </c>
      <c r="F6" s="34">
        <f t="shared" si="0"/>
        <v>-10000000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Sheet8!J6+Sheet8!J10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12" t="s">
        <v>323</v>
      </c>
      <c r="B7" s="32" t="s">
        <v>324</v>
      </c>
      <c r="C7" s="33">
        <v>350639</v>
      </c>
      <c r="D7" s="32" t="s">
        <v>29</v>
      </c>
      <c r="E7" s="32" t="s">
        <v>10</v>
      </c>
      <c r="F7" s="34">
        <f t="shared" si="0"/>
        <v>0</v>
      </c>
      <c r="G7" s="35">
        <f t="shared" si="1"/>
        <v>350639</v>
      </c>
      <c r="H7" s="34">
        <f t="shared" si="2"/>
        <v>0</v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2450639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779985135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600407996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285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165019504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945004639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779985135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600407996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 codeName="Sheet11">
    <tabColor rgb="FFFF00FF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306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318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165019504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945004639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779985135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600407996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9A3-6F64-476C-A31E-6647BDE00953}">
  <sheetPr>
    <tabColor rgb="FFFF6600"/>
  </sheetPr>
  <dimension ref="A1:Z1000"/>
  <sheetViews>
    <sheetView workbookViewId="0">
      <selection activeCell="I3" sqref="I3:J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316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Sheet11!J4+Sheet11!J8</f>
        <v>165019504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Sheet11!J5+Sheet11!J9</f>
        <v>945004639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Sheet11!J6+Sheet11!J10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779985135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600407996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91888F89-C41D-448F-BD54-98EF1E73D35B}">
      <formula1>"داود,محمد,امید"</formula1>
    </dataValidation>
    <dataValidation type="list" allowBlank="1" sqref="D3:D35" xr:uid="{7D4F0E11-9FE5-4955-9560-C0110E6917D3}">
      <formula1>"برداشت,پرداخت"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2026-10-26T15:58:26Z</dcterms:modified>
</cp:coreProperties>
</file>