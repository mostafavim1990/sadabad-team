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E202C2F3-31BE-405E-93D3-B4381AE78C06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lh+r+050pCBRwL8iHyvIYObNxzSBSlC/957MJ0QSjcI="/>
    </ext>
  </extLst>
</workbook>
</file>

<file path=xl/calcChain.xml><?xml version="1.0" encoding="utf-8"?>
<calcChain xmlns="http://schemas.openxmlformats.org/spreadsheetml/2006/main">
  <c r="H35" i="10" l="1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J10" i="10" s="1"/>
  <c r="G3" i="10"/>
  <c r="J9" i="10" s="1"/>
  <c r="F3" i="10"/>
  <c r="J8" i="10" s="1"/>
  <c r="C23" i="6"/>
  <c r="C24" i="6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J10" i="9" s="1"/>
  <c r="G3" i="9"/>
  <c r="J9" i="9" s="1"/>
  <c r="F3" i="9"/>
  <c r="J8" i="9" s="1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J9" i="8" s="1"/>
  <c r="F3" i="8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H5" i="7"/>
  <c r="G5" i="7"/>
  <c r="F5" i="7"/>
  <c r="H4" i="7"/>
  <c r="G4" i="7"/>
  <c r="F4" i="7"/>
  <c r="H3" i="7"/>
  <c r="G3" i="7"/>
  <c r="F3" i="7"/>
  <c r="H35" i="6"/>
  <c r="G35" i="6"/>
  <c r="F35" i="6"/>
  <c r="H34" i="6"/>
  <c r="G34" i="6"/>
  <c r="F34" i="6"/>
  <c r="H33" i="6"/>
  <c r="G33" i="6"/>
  <c r="F33" i="6"/>
  <c r="H32" i="6"/>
  <c r="G32" i="6"/>
  <c r="F32" i="6"/>
  <c r="H31" i="6"/>
  <c r="G31" i="6"/>
  <c r="F31" i="6"/>
  <c r="H30" i="6"/>
  <c r="G30" i="6"/>
  <c r="F30" i="6"/>
  <c r="H29" i="6"/>
  <c r="G29" i="6"/>
  <c r="F29" i="6"/>
  <c r="H28" i="6"/>
  <c r="G28" i="6"/>
  <c r="F28" i="6"/>
  <c r="H27" i="6"/>
  <c r="G27" i="6"/>
  <c r="F27" i="6"/>
  <c r="H26" i="6"/>
  <c r="G26" i="6"/>
  <c r="F26" i="6"/>
  <c r="H25" i="6"/>
  <c r="G25" i="6"/>
  <c r="F25" i="6"/>
  <c r="H24" i="6"/>
  <c r="G24" i="6"/>
  <c r="F24" i="6"/>
  <c r="H23" i="6"/>
  <c r="G23" i="6"/>
  <c r="F23" i="6"/>
  <c r="H22" i="6"/>
  <c r="G22" i="6"/>
  <c r="F22" i="6"/>
  <c r="H21" i="6"/>
  <c r="G21" i="6"/>
  <c r="F21" i="6"/>
  <c r="H20" i="6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G15" i="6"/>
  <c r="F15" i="6"/>
  <c r="C15" i="6"/>
  <c r="H15" i="6" s="1"/>
  <c r="H14" i="6"/>
  <c r="G14" i="6"/>
  <c r="F14" i="6"/>
  <c r="C14" i="6"/>
  <c r="H13" i="6"/>
  <c r="G13" i="6"/>
  <c r="F13" i="6"/>
  <c r="H12" i="6"/>
  <c r="F12" i="6"/>
  <c r="H11" i="6"/>
  <c r="G11" i="6"/>
  <c r="F11" i="6"/>
  <c r="C11" i="6"/>
  <c r="C12" i="6" s="1"/>
  <c r="G12" i="6" s="1"/>
  <c r="H10" i="6"/>
  <c r="G10" i="6"/>
  <c r="F10" i="6"/>
  <c r="H9" i="6"/>
  <c r="F9" i="6"/>
  <c r="H8" i="6"/>
  <c r="G8" i="6"/>
  <c r="C8" i="6"/>
  <c r="C9" i="6" s="1"/>
  <c r="G9" i="6" s="1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H35" i="5"/>
  <c r="G35" i="5"/>
  <c r="F35" i="5"/>
  <c r="H34" i="5"/>
  <c r="G34" i="5"/>
  <c r="F34" i="5"/>
  <c r="H33" i="5"/>
  <c r="G33" i="5"/>
  <c r="F33" i="5"/>
  <c r="H32" i="5"/>
  <c r="G32" i="5"/>
  <c r="F32" i="5"/>
  <c r="H31" i="5"/>
  <c r="G31" i="5"/>
  <c r="F31" i="5"/>
  <c r="H30" i="5"/>
  <c r="G30" i="5"/>
  <c r="F30" i="5"/>
  <c r="H29" i="5"/>
  <c r="G29" i="5"/>
  <c r="F29" i="5"/>
  <c r="H28" i="5"/>
  <c r="G28" i="5"/>
  <c r="F28" i="5"/>
  <c r="H27" i="5"/>
  <c r="G27" i="5"/>
  <c r="F27" i="5"/>
  <c r="H26" i="5"/>
  <c r="G26" i="5"/>
  <c r="F26" i="5"/>
  <c r="H25" i="5"/>
  <c r="G25" i="5"/>
  <c r="F25" i="5"/>
  <c r="H24" i="5"/>
  <c r="G24" i="5"/>
  <c r="F24" i="5"/>
  <c r="H23" i="5"/>
  <c r="G23" i="5"/>
  <c r="F23" i="5"/>
  <c r="H22" i="5"/>
  <c r="G22" i="5"/>
  <c r="F22" i="5"/>
  <c r="H21" i="5"/>
  <c r="G21" i="5"/>
  <c r="F21" i="5"/>
  <c r="H20" i="5"/>
  <c r="G20" i="5"/>
  <c r="F20" i="5"/>
  <c r="H19" i="5"/>
  <c r="G19" i="5"/>
  <c r="F19" i="5"/>
  <c r="H18" i="5"/>
  <c r="G18" i="5"/>
  <c r="F18" i="5"/>
  <c r="H17" i="5"/>
  <c r="G17" i="5"/>
  <c r="F17" i="5"/>
  <c r="H16" i="5"/>
  <c r="G16" i="5"/>
  <c r="F16" i="5"/>
  <c r="H15" i="5"/>
  <c r="G15" i="5"/>
  <c r="F15" i="5"/>
  <c r="H14" i="5"/>
  <c r="G14" i="5"/>
  <c r="F14" i="5"/>
  <c r="H13" i="5"/>
  <c r="G13" i="5"/>
  <c r="F13" i="5"/>
  <c r="H12" i="5"/>
  <c r="G12" i="5"/>
  <c r="F12" i="5"/>
  <c r="H11" i="5"/>
  <c r="F11" i="5"/>
  <c r="C11" i="5"/>
  <c r="G11" i="5" s="1"/>
  <c r="H10" i="5"/>
  <c r="G10" i="5"/>
  <c r="F10" i="5"/>
  <c r="C10" i="5"/>
  <c r="H9" i="5"/>
  <c r="G9" i="5"/>
  <c r="F9" i="5"/>
  <c r="H8" i="5"/>
  <c r="G8" i="5"/>
  <c r="F8" i="5"/>
  <c r="H7" i="5"/>
  <c r="G7" i="5"/>
  <c r="F7" i="5"/>
  <c r="H6" i="5"/>
  <c r="F6" i="5"/>
  <c r="H5" i="5"/>
  <c r="G5" i="5"/>
  <c r="C5" i="5"/>
  <c r="C6" i="5" s="1"/>
  <c r="G6" i="5" s="1"/>
  <c r="H4" i="5"/>
  <c r="G4" i="5"/>
  <c r="F4" i="5"/>
  <c r="H3" i="5"/>
  <c r="J10" i="5" s="1"/>
  <c r="G3" i="5"/>
  <c r="F3" i="5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C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G19" i="4"/>
  <c r="F19" i="4"/>
  <c r="H18" i="4"/>
  <c r="F18" i="4"/>
  <c r="H17" i="4"/>
  <c r="G17" i="4"/>
  <c r="F17" i="4"/>
  <c r="C17" i="4"/>
  <c r="C19" i="4" s="1"/>
  <c r="H19" i="4" s="1"/>
  <c r="H16" i="4"/>
  <c r="G16" i="4"/>
  <c r="F16" i="4"/>
  <c r="H15" i="4"/>
  <c r="F15" i="4"/>
  <c r="H14" i="4"/>
  <c r="G14" i="4"/>
  <c r="C14" i="4"/>
  <c r="C15" i="4" s="1"/>
  <c r="G15" i="4" s="1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C6" i="4"/>
  <c r="H5" i="4"/>
  <c r="G5" i="4"/>
  <c r="F5" i="4"/>
  <c r="H4" i="4"/>
  <c r="G4" i="4"/>
  <c r="F4" i="4"/>
  <c r="H3" i="4"/>
  <c r="J10" i="4" s="1"/>
  <c r="G3" i="4"/>
  <c r="F3" i="4"/>
  <c r="H26" i="3"/>
  <c r="G26" i="3"/>
  <c r="F26" i="3"/>
  <c r="H25" i="3"/>
  <c r="G25" i="3"/>
  <c r="F25" i="3"/>
  <c r="H24" i="3"/>
  <c r="G24" i="3"/>
  <c r="F24" i="3"/>
  <c r="H23" i="3"/>
  <c r="G23" i="3"/>
  <c r="F23" i="3"/>
  <c r="H22" i="3"/>
  <c r="G22" i="3"/>
  <c r="F22" i="3"/>
  <c r="H21" i="3"/>
  <c r="G21" i="3"/>
  <c r="F21" i="3"/>
  <c r="H20" i="3"/>
  <c r="F20" i="3"/>
  <c r="H19" i="3"/>
  <c r="G19" i="3"/>
  <c r="F19" i="3"/>
  <c r="C19" i="3"/>
  <c r="H18" i="3"/>
  <c r="G18" i="3"/>
  <c r="F18" i="3"/>
  <c r="H17" i="3"/>
  <c r="G17" i="3"/>
  <c r="F17" i="3"/>
  <c r="H16" i="3"/>
  <c r="G16" i="3"/>
  <c r="F16" i="3"/>
  <c r="H15" i="3"/>
  <c r="G15" i="3"/>
  <c r="F15" i="3"/>
  <c r="H14" i="3"/>
  <c r="G14" i="3"/>
  <c r="F14" i="3"/>
  <c r="H13" i="3"/>
  <c r="G13" i="3"/>
  <c r="F13" i="3"/>
  <c r="C13" i="3"/>
  <c r="H12" i="3"/>
  <c r="G12" i="3"/>
  <c r="F12" i="3"/>
  <c r="C12" i="3"/>
  <c r="H11" i="3"/>
  <c r="G11" i="3"/>
  <c r="F11" i="3"/>
  <c r="C11" i="3"/>
  <c r="H10" i="3"/>
  <c r="G10" i="3"/>
  <c r="F10" i="3"/>
  <c r="C10" i="3"/>
  <c r="C20" i="3" s="1"/>
  <c r="G20" i="3" s="1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J10" i="3" s="1"/>
  <c r="G3" i="3"/>
  <c r="J9" i="3" s="1"/>
  <c r="F3" i="3"/>
  <c r="J8" i="3" s="1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J8" i="2"/>
  <c r="H8" i="2"/>
  <c r="G8" i="2"/>
  <c r="F8" i="2"/>
  <c r="H7" i="2"/>
  <c r="G7" i="2"/>
  <c r="F7" i="2"/>
  <c r="H6" i="2"/>
  <c r="G6" i="2"/>
  <c r="F6" i="2"/>
  <c r="H5" i="2"/>
  <c r="G5" i="2"/>
  <c r="F5" i="2"/>
  <c r="H4" i="2"/>
  <c r="J10" i="2" s="1"/>
  <c r="G4" i="2"/>
  <c r="F4" i="2"/>
  <c r="H3" i="2"/>
  <c r="G3" i="2"/>
  <c r="J9" i="2" s="1"/>
  <c r="F3" i="2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C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C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C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J17" i="1" s="1"/>
  <c r="G7" i="1"/>
  <c r="F7" i="1"/>
  <c r="J15" i="1" s="1"/>
  <c r="H6" i="1"/>
  <c r="G6" i="1"/>
  <c r="F6" i="1"/>
  <c r="J5" i="1"/>
  <c r="J10" i="1" s="1"/>
  <c r="H5" i="1"/>
  <c r="G5" i="1"/>
  <c r="F5" i="1"/>
  <c r="J4" i="1"/>
  <c r="J9" i="1" s="1"/>
  <c r="H4" i="1"/>
  <c r="G4" i="1"/>
  <c r="F4" i="1"/>
  <c r="J3" i="1"/>
  <c r="J8" i="1" s="1"/>
  <c r="H3" i="1"/>
  <c r="G3" i="1"/>
  <c r="J16" i="1" s="1"/>
  <c r="F3" i="1"/>
  <c r="J8" i="8" l="1"/>
  <c r="J10" i="8"/>
  <c r="J10" i="6"/>
  <c r="J9" i="7"/>
  <c r="J10" i="7"/>
  <c r="J8" i="7"/>
  <c r="J9" i="6"/>
  <c r="J9" i="5"/>
  <c r="J14" i="3"/>
  <c r="J15" i="3"/>
  <c r="J4" i="2"/>
  <c r="J4" i="3" s="1"/>
  <c r="J4" i="4" s="1"/>
  <c r="J5" i="2"/>
  <c r="J5" i="3" s="1"/>
  <c r="J5" i="4" s="1"/>
  <c r="J6" i="2"/>
  <c r="J6" i="3" s="1"/>
  <c r="J6" i="4" s="1"/>
  <c r="J6" i="5" s="1"/>
  <c r="J6" i="6" s="1"/>
  <c r="F14" i="4"/>
  <c r="J8" i="4" s="1"/>
  <c r="J13" i="4" s="1"/>
  <c r="C18" i="4"/>
  <c r="G18" i="4" s="1"/>
  <c r="J9" i="4" s="1"/>
  <c r="J14" i="4" s="1"/>
  <c r="F8" i="6"/>
  <c r="J8" i="6" s="1"/>
  <c r="F5" i="5"/>
  <c r="J8" i="5" s="1"/>
  <c r="J6" i="7" l="1"/>
  <c r="J6" i="8" s="1"/>
  <c r="J6" i="9" s="1"/>
  <c r="J6" i="10" s="1"/>
  <c r="J5" i="5"/>
  <c r="J5" i="6" s="1"/>
  <c r="J15" i="6" s="1"/>
  <c r="J15" i="2"/>
  <c r="J13" i="2"/>
  <c r="J13" i="3"/>
  <c r="J4" i="5"/>
  <c r="J4" i="6" s="1"/>
  <c r="J4" i="7" s="1"/>
  <c r="J15" i="4"/>
  <c r="J14" i="5"/>
  <c r="J14" i="2"/>
  <c r="J5" i="7" l="1"/>
  <c r="J14" i="6"/>
  <c r="J13" i="6"/>
  <c r="J4" i="8"/>
  <c r="J4" i="9" s="1"/>
  <c r="J4" i="10" s="1"/>
  <c r="J15" i="7"/>
  <c r="J13" i="7"/>
  <c r="J15" i="5"/>
  <c r="J13" i="5"/>
  <c r="J5" i="8" l="1"/>
  <c r="J14" i="7"/>
  <c r="J14" i="8" l="1"/>
  <c r="J5" i="9"/>
  <c r="J5" i="10" s="1"/>
  <c r="J15" i="8"/>
  <c r="J13" i="8"/>
  <c r="J14" i="10" l="1"/>
  <c r="J13" i="10"/>
  <c r="J15" i="10"/>
  <c r="J14" i="9"/>
  <c r="J13" i="9"/>
  <c r="J15" i="9"/>
</calcChain>
</file>

<file path=xl/sharedStrings.xml><?xml version="1.0" encoding="utf-8"?>
<sst xmlns="http://schemas.openxmlformats.org/spreadsheetml/2006/main" count="946" uniqueCount="309">
  <si>
    <t>تراز مالی شرکت - آذر - دی -بهمن - اسفند  سال 1404</t>
  </si>
  <si>
    <t>تراز مالی شرکت - فروردین -  سال 1405</t>
  </si>
  <si>
    <t>تراز مالی شرکت - اردیبهشت -  سال 1405</t>
  </si>
  <si>
    <t>تراز مالی شرکت - خرداد -  سال 1405</t>
  </si>
  <si>
    <t>تاریخ</t>
  </si>
  <si>
    <t>شرح</t>
  </si>
  <si>
    <t>مبلغ</t>
  </si>
  <si>
    <t>نوع عملیات</t>
  </si>
  <si>
    <t>نام شخص</t>
  </si>
  <si>
    <t>داود</t>
  </si>
  <si>
    <t>محمد</t>
  </si>
  <si>
    <t>امید</t>
  </si>
  <si>
    <t>محاسبه مانده پول وارد شده  (تومان)</t>
  </si>
  <si>
    <t>1405-02-01</t>
  </si>
  <si>
    <t>1404-11-13</t>
  </si>
  <si>
    <t>برداشت داود از حساب مشترک (بدهی به مهدیه)</t>
  </si>
  <si>
    <t>1405-01-11</t>
  </si>
  <si>
    <t>داود روز عکاسی از امید خواست از حساب شراکت 5 میلیون براش انتقال بده (بلو بانک)</t>
  </si>
  <si>
    <t>انتقال به حساب امید (برداشت از شرکت ) مساعده</t>
  </si>
  <si>
    <t>برداشت</t>
  </si>
  <si>
    <t>1405-03-01</t>
  </si>
  <si>
    <t>برداشت داود از حساب بابت پرداخت قسط دیجی پی</t>
  </si>
  <si>
    <t>تراز حساب داود:</t>
  </si>
  <si>
    <t>انتقال از حساب ماههای قبل</t>
  </si>
  <si>
    <t>مبلغی که از مانده فروش طلا به شیریان و محمد کاظمی مانده بود در حساب امید ماند</t>
  </si>
  <si>
    <t>1405-02-07</t>
  </si>
  <si>
    <t>برداشت داود از حساب مشترک (خرید از دیجیکالا)</t>
  </si>
  <si>
    <t>تراز حساب محمد:</t>
  </si>
  <si>
    <t>انتقال حساب از ماههای قبل</t>
  </si>
  <si>
    <t>1404-10-04</t>
  </si>
  <si>
    <t>دستمزد بیل بکهو</t>
  </si>
  <si>
    <t>پرداخت</t>
  </si>
  <si>
    <t>تراز حساب امید:</t>
  </si>
  <si>
    <t>انتقال به حساب داود (برداشت از حساب شرکت) مساعده</t>
  </si>
  <si>
    <t>1404-10-17</t>
  </si>
  <si>
    <t>لوازم تحریر - زونکن و خودکار و ماژیک</t>
  </si>
  <si>
    <t>1405-03-02</t>
  </si>
  <si>
    <t xml:space="preserve">برداشت داود از حساب مشترک بابت سیگار و آدامس - ته فرودگاه </t>
  </si>
  <si>
    <t>1405-02-10</t>
  </si>
  <si>
    <t>انتقال مبلغ از حساب مشترک به حساب مهسا (بلو بانک)</t>
  </si>
  <si>
    <t>1404-11-07</t>
  </si>
  <si>
    <t>یک بسته برگه A4</t>
  </si>
  <si>
    <t>1405-01-16</t>
  </si>
  <si>
    <t>برداشت داود از حساب شرکت برای پرداخت هزینه باشگاه به امید -مساعده</t>
  </si>
  <si>
    <t xml:space="preserve">برداشت امید از حساب مشترک (archive) تلفظ </t>
  </si>
  <si>
    <t>1404-11-10</t>
  </si>
  <si>
    <t>تعمیر پرینتر و کارتریج</t>
  </si>
  <si>
    <t xml:space="preserve">طلب حساب داود </t>
  </si>
  <si>
    <t>1405-03-05</t>
  </si>
  <si>
    <t>برداشت داود از حساب مشترک -انتقال به بلو (پاکوب)</t>
  </si>
  <si>
    <t>پرداخت پول به حساب داود برای خرید وسایل کباب با محمد کاظمی</t>
  </si>
  <si>
    <t>برداشت داود از حساب شرکت- خریدن شورت ورزشی - مساعده</t>
  </si>
  <si>
    <t>محاسابات ماه جاری</t>
  </si>
  <si>
    <t>1404-11-16</t>
  </si>
  <si>
    <t>خرید پرینتر</t>
  </si>
  <si>
    <t>1405-02-11</t>
  </si>
  <si>
    <t>برداشت داود از حساب مشترک (عباس آباد پیاده روی )</t>
  </si>
  <si>
    <t>طلب حساب محمد</t>
  </si>
  <si>
    <t>1404-11-09</t>
  </si>
  <si>
    <t xml:space="preserve">رند کردن پول والاتبار که 100 میلیون بشود مبلغ 96,700,000  بود </t>
  </si>
  <si>
    <t>خرید داود برای وسایل نشست همان شب (هزینه برای جمع)</t>
  </si>
  <si>
    <t>1405-01-17</t>
  </si>
  <si>
    <t>برداشت از حساب شرکت برای هزینه سیزده بدر (١نفر)</t>
  </si>
  <si>
    <t>طلب حساب امید</t>
  </si>
  <si>
    <t>1404-09-30</t>
  </si>
  <si>
    <t>کمیسیون املاک پوریا فرقانی را امید پرداخت کرد</t>
  </si>
  <si>
    <t>1405-02-12</t>
  </si>
  <si>
    <t>برداشت محمد از حساب مشترک(تعمیر موتور)</t>
  </si>
  <si>
    <t>برداشت از حساب شرکت برای هزینه سیزده بدر (٢ نفر)</t>
  </si>
  <si>
    <t>مبلغ 70 میلیون تومان را امید به مهدی شیریان صاحب زمین بشارتی پرداخت کرد</t>
  </si>
  <si>
    <t>1404-11-11</t>
  </si>
  <si>
    <t>امید مبلغ 70 میلیون خودش را از فروش طلا به کاظمی که در حسابش بود کسر کرد</t>
  </si>
  <si>
    <t>1405-03-08</t>
  </si>
  <si>
    <t>برداشت امید از حساب مشترک - حقوق</t>
  </si>
  <si>
    <t>1405-02-15</t>
  </si>
  <si>
    <t>برداشت داود از حساب مشترک بابت جلوبندی سازی</t>
  </si>
  <si>
    <t>امید مبلغ طلب 15 میلیونی خودش را مربوط به فرقانی از حساب طلا برداشت کرد</t>
  </si>
  <si>
    <t xml:space="preserve">برداشت های ماه جاری </t>
  </si>
  <si>
    <t>1405-03-09</t>
  </si>
  <si>
    <t>1404-11-18</t>
  </si>
  <si>
    <t>برداشت محمد از حساب مشترک بابت پیش پرداخت کولر نادعلی زاده</t>
  </si>
  <si>
    <t>پرداخت مبلغ گواهی امضا مربوط به نظام مهندسی (پروژه اسدیان )</t>
  </si>
  <si>
    <t xml:space="preserve">برداشت داود از حساب مشترک بابت تراشکاری </t>
  </si>
  <si>
    <t>برداشت از حساب شرکت برای هزینه سیزده بدر (3 نفر)</t>
  </si>
  <si>
    <t xml:space="preserve">برداشت داود </t>
  </si>
  <si>
    <t>پرداخت هزینه UTM  به مهندس حیدریان برای انجام کار (برای پروژه چیت سازی)</t>
  </si>
  <si>
    <t>برداشت داود از حساب مشترک بابت خرید از کوهی لوازم خودرو</t>
  </si>
  <si>
    <t>برداشت محمد</t>
  </si>
  <si>
    <t>1405-01-19</t>
  </si>
  <si>
    <t>برداشت داود از حساب شرکت (برای رفتن به گرگان)- مساعده</t>
  </si>
  <si>
    <t>پرداخت هزینه UTM  به مهندس حیدریان برای انجام کار (برای پروژه مرحوم اکبری )</t>
  </si>
  <si>
    <t>برداشت امید</t>
  </si>
  <si>
    <t>برداشت داود از حساب مشترک بابت پیش پرداخت کولر نادعلی زاده</t>
  </si>
  <si>
    <t>1404-11-26</t>
  </si>
  <si>
    <t>برداشت از حساب شرکت -  فروش طلای دیجیتال (امید)</t>
  </si>
  <si>
    <t>1405-02-16</t>
  </si>
  <si>
    <t xml:space="preserve">برداشت داود از حساب مشترک جلو بندی </t>
  </si>
  <si>
    <t>1405-01-25</t>
  </si>
  <si>
    <t>انتقال به حساب امید از حساب شرکت</t>
  </si>
  <si>
    <t xml:space="preserve">برداشت از حساب شرکت - فروش بخشی از طلای دیجیتال (تساوی ) - داود </t>
  </si>
  <si>
    <t xml:space="preserve">برداشت مبلغ هزینه شده توسط محمد که از حساب شخصی خودش انجام داده بود </t>
  </si>
  <si>
    <t>برداشت داود از حساب مشترک (بابت دلار محمد تقی ۴٠٠) به علیرضا زمانی شبا</t>
  </si>
  <si>
    <t>1405-03-10</t>
  </si>
  <si>
    <t xml:space="preserve">برداشت داود از حساب مشترک - باشگاه </t>
  </si>
  <si>
    <t>برداشت از حساب به تساوی - فروش بخشی از طلای دیجیتال (محمد)</t>
  </si>
  <si>
    <t>1405-02-18</t>
  </si>
  <si>
    <t xml:space="preserve">برداشت امید از حساب مشترک </t>
  </si>
  <si>
    <t>پرداخت هزینه کسورات برای صدور پروانه - مهندس یونسی (آنلاین)</t>
  </si>
  <si>
    <t>1405-01-27</t>
  </si>
  <si>
    <t>برداشت امید از حساب مشترک (بابت تعمیر گوشی)</t>
  </si>
  <si>
    <t>1405-03-13</t>
  </si>
  <si>
    <t>برداشت داود از حساب مشترک- همراه محمد تقی</t>
  </si>
  <si>
    <t>1404-11-27</t>
  </si>
  <si>
    <t>چاپ فایل UTM  برای ارائه به بنیاد مسکن</t>
  </si>
  <si>
    <t>برداشت محمد از حساب مشترک (انتقال به مهدیه)</t>
  </si>
  <si>
    <t xml:space="preserve">برداشت داود از حساب شرکت بابت تسویه کردن وام یکجا پرداخت بانک صادرات-خیبری, مبلغ وام ۹۶ میلیون بود داود ۱۲ میلیون و ۳۰ میلیون رو داشت ۵۴ میلیون کسر داشت </t>
  </si>
  <si>
    <t>1405-03-15</t>
  </si>
  <si>
    <t xml:space="preserve">برگشت مبلغ کسورات که داود پرداخت کرده بود برای پروانه چیت سازی </t>
  </si>
  <si>
    <t>برداشت داود از حساب مشترک بابت خرید دو بسته سیگار</t>
  </si>
  <si>
    <t>برداشت محمد از حساب مشترک (بابت چک گوشی ١٢۵)</t>
  </si>
  <si>
    <t>برداشت داود از حساب شرکت</t>
  </si>
  <si>
    <t>1405-03-18</t>
  </si>
  <si>
    <t xml:space="preserve">برداشت داود از حساب مشترک- حقوق </t>
  </si>
  <si>
    <t>1405-02-19</t>
  </si>
  <si>
    <t>برداشت داود از حساب مشترک (پارکینگ)</t>
  </si>
  <si>
    <t>1404-12-02</t>
  </si>
  <si>
    <t>1405-02-20</t>
  </si>
  <si>
    <t>برداشت داوود از حساب مشترک بابت انعام کارواش</t>
  </si>
  <si>
    <t>1404-12-17</t>
  </si>
  <si>
    <t xml:space="preserve">برداشت محمد از حساب شرکت </t>
  </si>
  <si>
    <t>برداشت داود از حساب مشترک- بابت چک گوشی ١٢۵</t>
  </si>
  <si>
    <t>1405-02-21</t>
  </si>
  <si>
    <t>برداشت داود از حساب مشترک لوازم خودرو از کوهی</t>
  </si>
  <si>
    <t xml:space="preserve">پرداخت گواهی امضا بشارتی کسورات پروانه ساختمان بشارتی -دفت خانه توسط داود </t>
  </si>
  <si>
    <t>1405-03-20</t>
  </si>
  <si>
    <t>پرداخت مبلغ گواهی امضا که توسط داود پرداخت شده بود</t>
  </si>
  <si>
    <t>برداشت داود از حساب مشترک - بابت منبع انبساط علی کاظمی</t>
  </si>
  <si>
    <t>برداشت محمد بابت جلوبندی ماشین داود (نصف)</t>
  </si>
  <si>
    <t>1405-01-28</t>
  </si>
  <si>
    <t>پرداخت مبلغ گواهی امضا چیت سازی که توسط داود. پرداخت شده بود</t>
  </si>
  <si>
    <t>برداشت محمد از حساب مشترک (بابت قسط)</t>
  </si>
  <si>
    <t xml:space="preserve">پرداخت هزینه چاپ UTM برای ساختمان اکبری که توسط داود پرداخت شده بود. </t>
  </si>
  <si>
    <t>برداشت داود از حساب مشترک (مغازه ساسان)</t>
  </si>
  <si>
    <t>برداشت داود از حساب مشترک (دستی- روزی که پیاده روی رفته بود)</t>
  </si>
  <si>
    <t>1404-12-19</t>
  </si>
  <si>
    <t xml:space="preserve">١۵ میلیون از مبلغی که مهدی فتحی از امید گرفته بود را پرداخت کرد </t>
  </si>
  <si>
    <t>1405-02-22</t>
  </si>
  <si>
    <t>برداشت امید از حساب مشترک (انتقال به حساب مهسا)</t>
  </si>
  <si>
    <t>برداشت محمد از حساب مشترک - بابت منبع انبساط علی کاظمی</t>
  </si>
  <si>
    <t>مبلغی که مهدی فتحی پرداخت کرد به تساوی بین سه نفر تقسیم شده</t>
  </si>
  <si>
    <t>1405-02-24</t>
  </si>
  <si>
    <t>انتقال مبلغ به حساب امید از حساب شرکت (عروسی قایمشهر)</t>
  </si>
  <si>
    <t>1405-02-30</t>
  </si>
  <si>
    <t>1404-12-20</t>
  </si>
  <si>
    <t>مبلغی که مهدی فتحی بدهکار بود رو امید به حساب شرکت پرداخت کرد</t>
  </si>
  <si>
    <t>1405-03-22</t>
  </si>
  <si>
    <t>مبلغ ۵ میلیون که مهدی فتحی برگشت داد بطور تساوی بین سه نفر تقسیم شد</t>
  </si>
  <si>
    <t>برداشت داود از حساب بابت دنگ پاسند - 1 نفر - 5004000</t>
  </si>
  <si>
    <t>1404-12-23</t>
  </si>
  <si>
    <t xml:space="preserve">به تساوی سه نفر از حساب شرکت برداشت شده </t>
  </si>
  <si>
    <t>برداشت محمد از حساب مشترک بابت دنگ پاسند - 2 نفر - 5004000</t>
  </si>
  <si>
    <t>به تساوی سه نفر از حساب شرکت برداشت شده (با احتساب رند کردن توازن)</t>
  </si>
  <si>
    <t>برداشت امید از حساب مشترک بابت دنگ پاسند - 2 نفر - 5004000</t>
  </si>
  <si>
    <t>آورده مالی - محمد</t>
  </si>
  <si>
    <t>1405-03-23</t>
  </si>
  <si>
    <t xml:space="preserve">برداشت محمد بابت حقوق </t>
  </si>
  <si>
    <t xml:space="preserve">برداشت محمد از حساب مشترک بابت حقوق </t>
  </si>
  <si>
    <t>خرید طلا توسط محمد (طلای فیزیکی )- بعد از فروش خانه ساری</t>
  </si>
  <si>
    <t>1405-03-25</t>
  </si>
  <si>
    <t>برداشت داود از حساب مشترک - ابراهیم باتریساز</t>
  </si>
  <si>
    <t xml:space="preserve">خرید طلای دیجیتال توسط محمد - مرحله اول </t>
  </si>
  <si>
    <t>برداشت محمد از حساب مشترک - ابراهیم باتریساز (نصف نصف)</t>
  </si>
  <si>
    <t xml:space="preserve">خرید طلای دیجیتال توسط محمد - مرحله دوم </t>
  </si>
  <si>
    <t>خرید طلای دست دوم توسط محمد (از محمد تقی کاظمی)- مرحله اول</t>
  </si>
  <si>
    <t>1405-03-26</t>
  </si>
  <si>
    <t>برداشت داود از حساب مشترک - بدهی دیجی پی</t>
  </si>
  <si>
    <t>خرید طلای دست دوم توسط محمد (از محمد تقی کاظمی)- مرحله دوم</t>
  </si>
  <si>
    <t>1404-11-08</t>
  </si>
  <si>
    <t>1405-03-27</t>
  </si>
  <si>
    <t xml:space="preserve">برداشت داود از حساب مشترک- لباس خیابون امام </t>
  </si>
  <si>
    <t xml:space="preserve">پرداخت مبلغ به مهدی شیریان قادیکلایی بابت خرید زمین بشارتی (همراه بانک مهدیه ) </t>
  </si>
  <si>
    <t>پرداخت مبلغ به مهدی شیریان قادیکلایی بابت خرید زمین بشارتی (همراه بانک مهدیه )</t>
  </si>
  <si>
    <t>1405-03-28</t>
  </si>
  <si>
    <t>برداشت امید از حساب مشترک (روزی که در مورد آب زدن ستون حرف زدیم)</t>
  </si>
  <si>
    <t>جمع محمد</t>
  </si>
  <si>
    <t>1405-03-30</t>
  </si>
  <si>
    <t>برداشت داود از حساب مشترک بابت ثبت نام امتیاز برق گرجی محله</t>
  </si>
  <si>
    <t>آورده مالی امید</t>
  </si>
  <si>
    <t>برداشت محمد از حساب مشترک بابت گواهی عزل وکیل دفترخانه نصیری</t>
  </si>
  <si>
    <t>خرید طلا توسط امید (طلای فیزیکی ) - بعد از فروش خانه بهشهر</t>
  </si>
  <si>
    <t>خرید طلا توسط امید (طلای فیزیکی ) - مرحله دوم</t>
  </si>
  <si>
    <t>جمع امید</t>
  </si>
  <si>
    <t>آورده مالی داود</t>
  </si>
  <si>
    <t>1405-02-04</t>
  </si>
  <si>
    <t xml:space="preserve">فروش زمین رستمکلا (بخشی طلا و بخشی نقد) ارزش روز </t>
  </si>
  <si>
    <t xml:space="preserve">جمع داود </t>
  </si>
  <si>
    <t>تراز مالی شرکت - تیر -  سال 1405</t>
  </si>
  <si>
    <t>03/04/1405</t>
  </si>
  <si>
    <t>برداشت امید از حساب مشترک - حقوق (پارت) + کارمزد انتقال از پست بانک</t>
  </si>
  <si>
    <t>04/04/1405</t>
  </si>
  <si>
    <t>برداشت امید از حساب مشترک - پارت دوم - نادعلیزاده + کارمزد انتقال از پست بانک</t>
  </si>
  <si>
    <t>06/04/1405</t>
  </si>
  <si>
    <t>برداشت داود از حساب - بابت علیرضا لکزایی برای تعمیر پمپ</t>
  </si>
  <si>
    <t>برداشت محمد از حساب - بابت علیرضا لکزایی برای تعمیر پمپ</t>
  </si>
  <si>
    <t>08/04/1405</t>
  </si>
  <si>
    <t xml:space="preserve">برداشت محمد از حساب - بابت بدهی موتور </t>
  </si>
  <si>
    <t>برداشت محمد از حساب برای خرید نوشابه برای آرماتور بندها که نبودند و برد خانه</t>
  </si>
  <si>
    <t>09/04/1405</t>
  </si>
  <si>
    <t>برداشت داود از حساب - نون</t>
  </si>
  <si>
    <t>10/04/1405</t>
  </si>
  <si>
    <t>برداشت داود از حساب - بابت روغن ماشین</t>
  </si>
  <si>
    <t>برداشت محمد از حساب - بابت روغن ماشین (نصف مصف)</t>
  </si>
  <si>
    <t>برداشت داود از حساب - بابت سیگار</t>
  </si>
  <si>
    <t>تراز مالی شرکت - مرداد -  سال 1405</t>
  </si>
  <si>
    <t>11/04/1405</t>
  </si>
  <si>
    <t>برداشت داود از حساب مشترک - بابت رفتن به تنکابن</t>
  </si>
  <si>
    <t>06/06/1405</t>
  </si>
  <si>
    <t>برداشت محمد از حساب مشترک (خرید عینک برای اوستاکاظم)</t>
  </si>
  <si>
    <t xml:space="preserve">برداشت امید از حساب بابت حقوق </t>
  </si>
  <si>
    <t>17/04/1405</t>
  </si>
  <si>
    <t xml:space="preserve">هزینه پرداخت شده برای رفتن به تنکابن توسط داود </t>
  </si>
  <si>
    <t>20/04/1405</t>
  </si>
  <si>
    <t>برداشت داود (از پولی که از امیر نعمتی گرفتیم این مبلغ اضافه در حساب داود ماند)</t>
  </si>
  <si>
    <t xml:space="preserve">بخشی از مبلغ پرداخت شده بابت پاس شدن چک یونولیت توسط داود </t>
  </si>
  <si>
    <t>23/04/1405</t>
  </si>
  <si>
    <t xml:space="preserve">پرداخت دستمزد پمپ بتن توسط داود (با تاخیر) بابت سقف دوم </t>
  </si>
  <si>
    <t>28/04/1405</t>
  </si>
  <si>
    <t>برداشت داود برای خرید شیرینی ؟</t>
  </si>
  <si>
    <t xml:space="preserve">پرداخت داود برای خرید شیرینی </t>
  </si>
  <si>
    <t>27/04/1405</t>
  </si>
  <si>
    <t>پرداخت مبلغ توسط داود به حساب شرکت (روزی که پمپ بنزین بودیم)</t>
  </si>
  <si>
    <t>برداشت محمد از حساب بابت حقوق</t>
  </si>
  <si>
    <t>29/04/1405</t>
  </si>
  <si>
    <t>برداشت داود از حساب مشترک بابت خرید صبحانه کارگران پمپ سقف سوم</t>
  </si>
  <si>
    <t>برداشت داود از حساب بابت بعلت مسدود شدن حساب محمد مصطفوی</t>
  </si>
  <si>
    <t xml:space="preserve">خرید صبحانه و بنزین توسط داود </t>
  </si>
  <si>
    <t xml:space="preserve">برداشت داود از حساب بابت حقوق </t>
  </si>
  <si>
    <t>30/04/1405</t>
  </si>
  <si>
    <t>خرید نون برای صبحانه کارگران توسط امید (پمپ بتن)</t>
  </si>
  <si>
    <t>پرداخت مانده حساب به حساب شرکت توسط داود</t>
  </si>
  <si>
    <t>31/04/1405</t>
  </si>
  <si>
    <t>پرکردن پیک نیک توسط داود</t>
  </si>
  <si>
    <t>01/05/1405</t>
  </si>
  <si>
    <t>پرداخت انعام کارگران پمپ روزی که ابوذر نبود</t>
  </si>
  <si>
    <t>07/05/1405</t>
  </si>
  <si>
    <t xml:space="preserve">برداشت داود از حساب بابت وام سکینه حیدری </t>
  </si>
  <si>
    <t>02/05/1405</t>
  </si>
  <si>
    <t>پرداخت انعام رانندگان کامیون بتن سلیمی</t>
  </si>
  <si>
    <t>پرداخت انعام رانندگان کامیون بتن کوهستانیان</t>
  </si>
  <si>
    <t>10/05/1405</t>
  </si>
  <si>
    <t>برداشت داود بابت GPS کارگاه برای علیرضا حبیبی</t>
  </si>
  <si>
    <t>پرداخت انعام رانندگان کامیون بتن محمد زاده</t>
  </si>
  <si>
    <t>پرداخت دستمزد و خرید لوازم لوله کشی کنتور به علیرضا لکزایی</t>
  </si>
  <si>
    <t>پرداخت کرایه وانت برای حمل منبع آب- جعفر قربانی توسط داود</t>
  </si>
  <si>
    <t>برداشت محمد بابت GPS کارگاه برای علیرضا حبیبی</t>
  </si>
  <si>
    <t>08/05/1405</t>
  </si>
  <si>
    <t>خرید نون برای صبحانه کارگران توسط امید</t>
  </si>
  <si>
    <t>17/05/1405</t>
  </si>
  <si>
    <t>برداشت داود از حساب مشترک بابت چک کولر نادعلیزاده - نصف نصف</t>
  </si>
  <si>
    <t>برداشت محمد از حساب مشترک بابت چک کولر نادعلیزاده - نصف نصف</t>
  </si>
  <si>
    <t>1405-05-18</t>
  </si>
  <si>
    <t>برداشت داود بابت خرید شیرینی برای رییس بانک مسکن</t>
  </si>
  <si>
    <t>تراز مالی شرکت - شهریور -  سال 1405</t>
  </si>
  <si>
    <t xml:space="preserve">برداشت محمد بابت خرید شیرینی برای رییس بانک مسکن - نصف نصف </t>
  </si>
  <si>
    <t>1405-05-15</t>
  </si>
  <si>
    <t xml:space="preserve">خرید صبحانه برای کارگران تمیز کاری توسط امید - دماوندی </t>
  </si>
  <si>
    <t>1405-05-019</t>
  </si>
  <si>
    <t>خرید صبحانه برای کارگران توسط امید - زمانش را امید یادش نمیومد حدودی ثبت  شد</t>
  </si>
  <si>
    <t>1405-05-19</t>
  </si>
  <si>
    <t>خرید بنزین برای ابوذر و حسین آرماتوربندی توسط محمد</t>
  </si>
  <si>
    <t>1405-05-20</t>
  </si>
  <si>
    <t>خرید آب معدنی برای کارگران پمپ بتن - سقف چهارم توسط امید</t>
  </si>
  <si>
    <t>تراز مالی شرکت - مهر -  سال 1405</t>
  </si>
  <si>
    <r>
      <rPr>
        <b/>
        <sz val="12"/>
        <color theme="1"/>
        <rFont val="B Nazanin"/>
        <charset val="178"/>
      </rPr>
      <t>توازن حساب ها</t>
    </r>
    <r>
      <rPr>
        <sz val="12"/>
        <color theme="1"/>
        <rFont val="B Nazanin"/>
        <charset val="178"/>
      </rPr>
      <t xml:space="preserve"> </t>
    </r>
  </si>
  <si>
    <t>تراز مالی شرکت - آبان -  سال 1405</t>
  </si>
  <si>
    <t>1405-05-28</t>
  </si>
  <si>
    <t xml:space="preserve">برداشت امید از حساب - پارت دو </t>
  </si>
  <si>
    <t>برداشت امید از حساب - پارت یک</t>
  </si>
  <si>
    <t>برداشت امید از حساب - پارت سه</t>
  </si>
  <si>
    <t>برداشت امید از حساب - پارت چهار</t>
  </si>
  <si>
    <t>1405-06-01</t>
  </si>
  <si>
    <t xml:space="preserve">برداشت امید از حساب </t>
  </si>
  <si>
    <t>1405-05-31</t>
  </si>
  <si>
    <t>برداشت محمد از حساب بابت هزینه دهیاری (نصف نصف)</t>
  </si>
  <si>
    <t>برداشت داود از حساب بابت هزینه دهیاری (نصف نصف)</t>
  </si>
  <si>
    <t xml:space="preserve">برداشت محمد از حساب </t>
  </si>
  <si>
    <t xml:space="preserve">برداشت داود از حساب </t>
  </si>
  <si>
    <t>تراز مالی شرکت - آذر -  سال 1405</t>
  </si>
  <si>
    <t>برداشت داود از حساب بابت تسویه وام سکینه حیدری - فضلی</t>
  </si>
  <si>
    <t>1405-06-04</t>
  </si>
  <si>
    <t>پرداخت کرایه وانت حمل آهن آلات به کارگاه توسط محمد (برق قطع بود کرکره دستی)</t>
  </si>
  <si>
    <t>1405-06-05</t>
  </si>
  <si>
    <t>برداشت محمد از حساب  (حقوق)</t>
  </si>
  <si>
    <t>برداشت امید از حساب (حقوق)</t>
  </si>
  <si>
    <t>1405-06-09</t>
  </si>
  <si>
    <t>پرداخت کرایه وانت حمل آهن آلات به کارگاه با نیسان مهدی (توسط محمد)+ کارمزد</t>
  </si>
  <si>
    <t>1405-06-10</t>
  </si>
  <si>
    <t>پرداخت توسط محمد برای پاس شدن چک مهندس سعدی (چک 160 میلیونی)</t>
  </si>
  <si>
    <t>1405-06-11</t>
  </si>
  <si>
    <t>برداشت داود از حساب بابت هزینه شکایت از سکینه حیدری</t>
  </si>
  <si>
    <t>1405-06-14</t>
  </si>
  <si>
    <t>برداشت داود بابت شکایت از سکینه حیدری</t>
  </si>
  <si>
    <t>1405-06-17</t>
  </si>
  <si>
    <t>برداشت داود بابت پمپ بنزین</t>
  </si>
  <si>
    <t>1405-06-22</t>
  </si>
  <si>
    <t>خرید کیسه آرد برای بالابر توسط امید از نونوایی لواش دور میدان - پول کاغذی</t>
  </si>
  <si>
    <t>1405-06-30</t>
  </si>
  <si>
    <t>خرید یک مایع دستشویی توسط امید از ریحان مارکت</t>
  </si>
  <si>
    <t>1405-07-17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</si>
</sst>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160429]dd/mm/yyyy"/>
  </numFmts>
  <fonts count="13">
    <font>
      <sz val="11"/>
      <color rgb="FF000000"/>
      <name val="Arial"/>
      <scheme val="minor"/>
    </font>
    <font>
      <b/>
      <sz val="11"/>
      <color theme="1"/>
      <name val="Arial"/>
    </font>
    <font>
      <sz val="12"/>
      <color theme="1"/>
      <name val="B Nazanin"/>
    </font>
    <font>
      <sz val="11"/>
      <color theme="1"/>
      <name val="Arial"/>
    </font>
    <font>
      <sz val="11"/>
      <color rgb="FF000000"/>
      <name val="B Nazanin"/>
    </font>
    <font>
      <sz val="11"/>
      <color rgb="FF000000"/>
      <name val="Arial"/>
    </font>
    <font>
      <b/>
      <sz val="11"/>
      <color rgb="FF000000"/>
      <name val="Arial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</fonts>
  <fills count="14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F3F3F3"/>
        <bgColor rgb="FFF3F3F3"/>
      </patternFill>
    </fill>
    <fill>
      <patternFill patternType="solid">
        <fgColor rgb="FFB6D7A8"/>
        <bgColor rgb="FFB6D7A8"/>
      </patternFill>
    </fill>
    <fill>
      <patternFill patternType="solid">
        <fgColor rgb="FFCCCCCC"/>
        <bgColor rgb="FFCCCCCC"/>
      </patternFill>
    </fill>
    <fill>
      <patternFill patternType="solid">
        <fgColor rgb="FFEA9999"/>
        <bgColor rgb="FFEA9999"/>
      </patternFill>
    </fill>
    <fill>
      <patternFill patternType="solid">
        <fgColor rgb="FF9900FF"/>
        <bgColor rgb="FF9900FF"/>
      </patternFill>
    </fill>
    <fill>
      <patternFill patternType="solid">
        <fgColor rgb="FFF5F5F5"/>
        <bgColor rgb="FFF5F5F5"/>
      </patternFill>
    </fill>
    <fill>
      <patternFill patternType="solid">
        <fgColor rgb="FF666666"/>
        <bgColor rgb="FF666666"/>
      </patternFill>
    </fill>
    <fill>
      <patternFill patternType="solid">
        <fgColor rgb="FFCC0000"/>
        <bgColor rgb="FFCC00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medium">
        <color rgb="FF000000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medium">
        <color rgb="FF000000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1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3" fontId="3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3" fontId="3" fillId="3" borderId="4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3" fontId="5" fillId="0" borderId="0" xfId="0" applyNumberFormat="1" applyFont="1"/>
    <xf numFmtId="0" fontId="6" fillId="0" borderId="0" xfId="0" applyFont="1"/>
    <xf numFmtId="165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/>
    </xf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7" fillId="2" borderId="4" xfId="0" applyFont="1" applyFill="1" applyBorder="1" applyAlignment="1">
      <alignment horizontal="center" vertical="center" wrapText="1" readingOrder="2"/>
    </xf>
    <xf numFmtId="0" fontId="7" fillId="3" borderId="4" xfId="0" applyFont="1" applyFill="1" applyBorder="1" applyAlignment="1">
      <alignment horizontal="center" vertical="center" wrapText="1" readingOrder="2"/>
    </xf>
    <xf numFmtId="0" fontId="7" fillId="4" borderId="4" xfId="0" applyFont="1" applyFill="1" applyBorder="1" applyAlignment="1">
      <alignment horizontal="center" vertical="center" wrapText="1" readingOrder="2"/>
    </xf>
    <xf numFmtId="164" fontId="9" fillId="0" borderId="4" xfId="0" applyNumberFormat="1" applyFont="1" applyBorder="1" applyAlignment="1">
      <alignment horizontal="left" vertical="center" wrapText="1" readingOrder="2"/>
    </xf>
    <xf numFmtId="0" fontId="9" fillId="0" borderId="4" xfId="0" applyFont="1" applyBorder="1" applyAlignment="1">
      <alignment horizontal="right" vertical="center" wrapText="1" readingOrder="2"/>
    </xf>
    <xf numFmtId="3" fontId="9" fillId="0" borderId="4" xfId="0" applyNumberFormat="1" applyFont="1" applyBorder="1" applyAlignment="1">
      <alignment horizontal="left" vertical="center" wrapText="1" readingOrder="2"/>
    </xf>
    <xf numFmtId="3" fontId="9" fillId="3" borderId="4" xfId="0" applyNumberFormat="1" applyFont="1" applyFill="1" applyBorder="1" applyAlignment="1">
      <alignment horizontal="left" vertical="center" wrapText="1" readingOrder="2"/>
    </xf>
    <xf numFmtId="3" fontId="9" fillId="4" borderId="4" xfId="0" applyNumberFormat="1" applyFont="1" applyFill="1" applyBorder="1" applyAlignment="1">
      <alignment horizontal="left" vertical="center" wrapText="1" readingOrder="2"/>
    </xf>
    <xf numFmtId="0" fontId="7" fillId="0" borderId="0" xfId="0" applyFont="1" applyAlignment="1">
      <alignment horizontal="left" vertical="center"/>
    </xf>
    <xf numFmtId="3" fontId="9" fillId="0" borderId="0" xfId="0" applyNumberFormat="1" applyFont="1" applyAlignment="1">
      <alignment horizontal="left" vertical="center" readingOrder="1"/>
    </xf>
    <xf numFmtId="165" fontId="9" fillId="0" borderId="4" xfId="0" applyNumberFormat="1" applyFont="1" applyBorder="1" applyAlignment="1">
      <alignment horizontal="left" vertical="center" wrapText="1" readingOrder="2"/>
    </xf>
    <xf numFmtId="0" fontId="7" fillId="5" borderId="4" xfId="0" applyFont="1" applyFill="1" applyBorder="1" applyAlignment="1">
      <alignment horizontal="left" vertical="center" wrapText="1" readingOrder="2"/>
    </xf>
    <xf numFmtId="3" fontId="9" fillId="8" borderId="4" xfId="0" applyNumberFormat="1" applyFont="1" applyFill="1" applyBorder="1" applyAlignment="1">
      <alignment horizontal="left" vertical="center" wrapText="1" readingOrder="1"/>
    </xf>
    <xf numFmtId="0" fontId="7" fillId="0" borderId="4" xfId="0" applyFont="1" applyBorder="1" applyAlignment="1">
      <alignment horizontal="left" vertical="center" wrapText="1" readingOrder="2"/>
    </xf>
    <xf numFmtId="3" fontId="7" fillId="0" borderId="4" xfId="0" applyNumberFormat="1" applyFont="1" applyBorder="1" applyAlignment="1">
      <alignment horizontal="left" vertical="center" wrapText="1" readingOrder="1"/>
    </xf>
    <xf numFmtId="0" fontId="10" fillId="0" borderId="0" xfId="0" applyFont="1" applyAlignment="1">
      <alignment horizontal="left"/>
    </xf>
    <xf numFmtId="0" fontId="10" fillId="0" borderId="0" xfId="0" applyFont="1"/>
    <xf numFmtId="3" fontId="9" fillId="0" borderId="4" xfId="0" applyNumberFormat="1" applyFont="1" applyBorder="1" applyAlignment="1">
      <alignment horizontal="right" vertical="center" wrapText="1" readingOrder="2"/>
    </xf>
    <xf numFmtId="0" fontId="9" fillId="0" borderId="0" xfId="0" applyFont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3" fontId="11" fillId="2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3" fontId="12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3" fontId="12" fillId="3" borderId="4" xfId="0" applyNumberFormat="1" applyFont="1" applyFill="1" applyBorder="1" applyAlignment="1">
      <alignment horizontal="left" vertical="center"/>
    </xf>
    <xf numFmtId="3" fontId="12" fillId="4" borderId="4" xfId="0" applyNumberFormat="1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3" fontId="12" fillId="0" borderId="4" xfId="0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3" fontId="11" fillId="0" borderId="4" xfId="0" applyNumberFormat="1" applyFont="1" applyBorder="1" applyAlignment="1">
      <alignment vertical="center"/>
    </xf>
    <xf numFmtId="0" fontId="12" fillId="10" borderId="7" xfId="0" applyFont="1" applyFill="1" applyBorder="1" applyAlignment="1">
      <alignment horizontal="center"/>
    </xf>
    <xf numFmtId="164" fontId="12" fillId="0" borderId="8" xfId="0" applyNumberFormat="1" applyFont="1" applyBorder="1" applyAlignment="1">
      <alignment horizontal="left" vertical="center"/>
    </xf>
    <xf numFmtId="0" fontId="12" fillId="0" borderId="8" xfId="0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left" vertical="center"/>
    </xf>
    <xf numFmtId="0" fontId="11" fillId="0" borderId="8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1" fillId="11" borderId="10" xfId="0" applyFont="1" applyFill="1" applyBorder="1" applyAlignment="1">
      <alignment horizontal="center" vertical="center"/>
    </xf>
    <xf numFmtId="3" fontId="12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/>
    </xf>
    <xf numFmtId="0" fontId="12" fillId="0" borderId="11" xfId="0" applyFont="1" applyBorder="1" applyAlignment="1">
      <alignment horizontal="right" vertical="center"/>
    </xf>
    <xf numFmtId="3" fontId="12" fillId="3" borderId="12" xfId="0" applyNumberFormat="1" applyFont="1" applyFill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right" vertical="center"/>
    </xf>
    <xf numFmtId="164" fontId="12" fillId="0" borderId="13" xfId="0" applyNumberFormat="1" applyFont="1" applyBorder="1" applyAlignment="1">
      <alignment horizontal="left" vertical="center"/>
    </xf>
    <xf numFmtId="0" fontId="11" fillId="12" borderId="4" xfId="0" applyFont="1" applyFill="1" applyBorder="1" applyAlignment="1">
      <alignment horizontal="right" vertical="center"/>
    </xf>
    <xf numFmtId="3" fontId="12" fillId="12" borderId="4" xfId="0" applyNumberFormat="1" applyFont="1" applyFill="1" applyBorder="1" applyAlignment="1">
      <alignment horizontal="left" vertical="center"/>
    </xf>
    <xf numFmtId="0" fontId="11" fillId="11" borderId="4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right" vertical="center"/>
    </xf>
    <xf numFmtId="3" fontId="11" fillId="13" borderId="4" xfId="0" applyNumberFormat="1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13" borderId="16" xfId="0" applyFont="1" applyFill="1" applyBorder="1" applyAlignment="1">
      <alignment horizontal="right" vertical="center"/>
    </xf>
    <xf numFmtId="3" fontId="11" fillId="13" borderId="16" xfId="0" applyNumberFormat="1" applyFont="1" applyFill="1" applyBorder="1" applyAlignment="1">
      <alignment horizontal="left" vertical="center"/>
    </xf>
    <xf numFmtId="0" fontId="11" fillId="0" borderId="16" xfId="0" applyFont="1" applyBorder="1" applyAlignment="1">
      <alignment vertical="center"/>
    </xf>
    <xf numFmtId="0" fontId="12" fillId="0" borderId="17" xfId="0" applyFont="1" applyBorder="1" applyAlignment="1">
      <alignment horizontal="right" vertical="center"/>
    </xf>
    <xf numFmtId="0" fontId="12" fillId="0" borderId="18" xfId="0" applyFont="1" applyBorder="1" applyAlignment="1">
      <alignment horizontal="left" vertical="center"/>
    </xf>
    <xf numFmtId="0" fontId="12" fillId="0" borderId="18" xfId="0" applyFont="1" applyBorder="1" applyAlignment="1">
      <alignment horizontal="right" vertical="center"/>
    </xf>
    <xf numFmtId="3" fontId="12" fillId="0" borderId="18" xfId="0" applyNumberFormat="1" applyFont="1" applyBorder="1" applyAlignment="1">
      <alignment horizontal="left" vertical="center"/>
    </xf>
    <xf numFmtId="0" fontId="11" fillId="0" borderId="18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right" wrapText="1" readingOrder="2"/>
    </xf>
    <xf numFmtId="0" fontId="9" fillId="0" borderId="4" xfId="0" applyFont="1" applyBorder="1" applyAlignment="1">
      <alignment horizontal="right" wrapText="1" readingOrder="2"/>
    </xf>
    <xf numFmtId="3" fontId="9" fillId="0" borderId="4" xfId="0" applyNumberFormat="1" applyFont="1" applyBorder="1" applyAlignment="1">
      <alignment horizontal="left" wrapText="1" readingOrder="2"/>
    </xf>
    <xf numFmtId="3" fontId="9" fillId="3" borderId="4" xfId="0" applyNumberFormat="1" applyFont="1" applyFill="1" applyBorder="1" applyAlignment="1">
      <alignment horizontal="left" wrapText="1" readingOrder="2"/>
    </xf>
    <xf numFmtId="3" fontId="9" fillId="4" borderId="4" xfId="0" applyNumberFormat="1" applyFont="1" applyFill="1" applyBorder="1" applyAlignment="1">
      <alignment horizontal="left" wrapText="1" readingOrder="2"/>
    </xf>
    <xf numFmtId="0" fontId="7" fillId="0" borderId="0" xfId="0" applyFont="1" applyAlignment="1">
      <alignment horizontal="left"/>
    </xf>
    <xf numFmtId="3" fontId="9" fillId="0" borderId="0" xfId="0" applyNumberFormat="1" applyFont="1" applyAlignment="1">
      <alignment horizontal="left" readingOrder="1"/>
    </xf>
    <xf numFmtId="0" fontId="7" fillId="5" borderId="4" xfId="0" applyFont="1" applyFill="1" applyBorder="1" applyAlignment="1">
      <alignment horizontal="left" wrapText="1" readingOrder="2"/>
    </xf>
    <xf numFmtId="3" fontId="9" fillId="8" borderId="4" xfId="0" applyNumberFormat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2"/>
    </xf>
    <xf numFmtId="3" fontId="7" fillId="0" borderId="4" xfId="0" applyNumberFormat="1" applyFont="1" applyBorder="1" applyAlignment="1">
      <alignment horizontal="left" wrapText="1" readingOrder="1"/>
    </xf>
    <xf numFmtId="0" fontId="9" fillId="10" borderId="7" xfId="0" applyFont="1" applyFill="1" applyBorder="1" applyAlignment="1">
      <alignment horizontal="center" wrapText="1" readingOrder="2"/>
    </xf>
    <xf numFmtId="164" fontId="9" fillId="0" borderId="4" xfId="0" applyNumberFormat="1" applyFont="1" applyBorder="1" applyAlignment="1">
      <alignment horizontal="right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right" vertical="center" wrapText="1" readingOrder="2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165" fontId="7" fillId="2" borderId="4" xfId="0" applyNumberFormat="1" applyFont="1" applyFill="1" applyBorder="1" applyAlignment="1">
      <alignment horizontal="center" vertical="center" wrapText="1" readingOrder="2"/>
    </xf>
    <xf numFmtId="165" fontId="9" fillId="0" borderId="4" xfId="0" applyNumberFormat="1" applyFont="1" applyBorder="1" applyAlignment="1">
      <alignment horizontal="right" vertical="center" wrapText="1" readingOrder="2"/>
    </xf>
    <xf numFmtId="0" fontId="10" fillId="0" borderId="0" xfId="0" applyFont="1" applyAlignment="1"/>
    <xf numFmtId="0" fontId="11" fillId="0" borderId="1" xfId="0" applyFont="1" applyBorder="1" applyAlignment="1">
      <alignment horizontal="center" vertical="center"/>
    </xf>
    <xf numFmtId="0" fontId="8" fillId="0" borderId="2" xfId="0" applyFont="1" applyBorder="1"/>
    <xf numFmtId="0" fontId="8" fillId="0" borderId="3" xfId="0" applyFont="1" applyBorder="1"/>
    <xf numFmtId="0" fontId="7" fillId="2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readingOrder="2"/>
    </xf>
    <xf numFmtId="0" fontId="7" fillId="6" borderId="5" xfId="0" applyFont="1" applyFill="1" applyBorder="1" applyAlignment="1">
      <alignment horizontal="center"/>
    </xf>
    <xf numFmtId="0" fontId="8" fillId="0" borderId="6" xfId="0" applyFont="1" applyBorder="1"/>
    <xf numFmtId="0" fontId="9" fillId="6" borderId="1" xfId="0" applyFont="1" applyFill="1" applyBorder="1" applyAlignment="1">
      <alignment horizontal="center" wrapText="1" readingOrder="2"/>
    </xf>
    <xf numFmtId="0" fontId="7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 readingOrder="2"/>
    </xf>
    <xf numFmtId="0" fontId="7" fillId="6" borderId="19" xfId="0" applyFont="1" applyFill="1" applyBorder="1" applyAlignment="1">
      <alignment horizontal="center" vertical="center"/>
    </xf>
    <xf numFmtId="0" fontId="8" fillId="0" borderId="20" xfId="0" applyFont="1" applyBorder="1"/>
    <xf numFmtId="0" fontId="7" fillId="6" borderId="21" xfId="0" applyFont="1" applyFill="1" applyBorder="1" applyAlignment="1">
      <alignment horizontal="center" vertical="center"/>
    </xf>
    <xf numFmtId="0" fontId="8" fillId="0" borderId="22" xfId="0" applyFont="1" applyBorder="1"/>
  </cellXfs>
  <cellStyles count="1">
    <cellStyle name="Normal" xfId="0" builtinId="0"/>
  </cellStyles>
  <dxfs count="28"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B7B7B7"/>
  </sheetPr>
  <dimension ref="A1:Z1000"/>
  <sheetViews>
    <sheetView tabSelected="1" workbookViewId="0">
      <selection activeCell="C11" sqref="C11"/>
    </sheetView>
  </sheetViews>
  <sheetFormatPr defaultColWidth="12.625" defaultRowHeight="15" customHeight="1"/>
  <cols>
    <col min="1" max="1" width="11.5" customWidth="1"/>
    <col min="2" max="2" width="56.75" customWidth="1"/>
    <col min="3" max="3" width="15.625" customWidth="1"/>
    <col min="4" max="4" width="9.625" customWidth="1"/>
    <col min="5" max="5" width="8.625" customWidth="1"/>
    <col min="6" max="6" width="13.25" customWidth="1"/>
    <col min="7" max="7" width="13.375" customWidth="1"/>
    <col min="8" max="8" width="14.125" customWidth="1"/>
    <col min="9" max="9" width="13" customWidth="1"/>
    <col min="10" max="10" width="17" customWidth="1"/>
    <col min="11" max="26" width="14.375" customWidth="1"/>
  </cols>
  <sheetData>
    <row r="1" spans="1:26" ht="24.75" customHeight="1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47" t="s">
        <v>4</v>
      </c>
      <c r="B2" s="47" t="s">
        <v>5</v>
      </c>
      <c r="C2" s="48" t="s">
        <v>6</v>
      </c>
      <c r="D2" s="47" t="s">
        <v>7</v>
      </c>
      <c r="E2" s="47" t="s">
        <v>8</v>
      </c>
      <c r="F2" s="49" t="s">
        <v>9</v>
      </c>
      <c r="G2" s="50" t="s">
        <v>10</v>
      </c>
      <c r="H2" s="49" t="s">
        <v>11</v>
      </c>
      <c r="I2" s="115" t="s">
        <v>12</v>
      </c>
      <c r="J2" s="11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>
      <c r="A3" s="51" t="s">
        <v>14</v>
      </c>
      <c r="B3" s="52" t="s">
        <v>17</v>
      </c>
      <c r="C3" s="53">
        <v>5000000</v>
      </c>
      <c r="D3" s="54" t="s">
        <v>19</v>
      </c>
      <c r="E3" s="52" t="s">
        <v>9</v>
      </c>
      <c r="F3" s="55">
        <f t="shared" ref="F3:F500" si="0">IF($D3="","",IF($E3="داود",IF($D3="برداشت",- $C3, $C3),0))</f>
        <v>-5000000</v>
      </c>
      <c r="G3" s="56">
        <f t="shared" ref="G3:G500" si="1">IF($D3="","",IF($E3="محمد",IF($D3="برداشت",- $C3, $C3),0))</f>
        <v>0</v>
      </c>
      <c r="H3" s="55">
        <f t="shared" ref="H3:H500" si="2">IF($D3="","",IF($E3="امید",IF($D3="برداشت",- $C3, $C3),0))</f>
        <v>0</v>
      </c>
      <c r="I3" s="57" t="s">
        <v>22</v>
      </c>
      <c r="J3" s="58">
        <f>SUM(F3:F62)</f>
        <v>745000000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">
      <c r="A4" s="51" t="s">
        <v>14</v>
      </c>
      <c r="B4" s="52" t="s">
        <v>24</v>
      </c>
      <c r="C4" s="53">
        <v>54752500</v>
      </c>
      <c r="D4" s="54" t="s">
        <v>19</v>
      </c>
      <c r="E4" s="52" t="s">
        <v>11</v>
      </c>
      <c r="F4" s="55">
        <f t="shared" si="0"/>
        <v>0</v>
      </c>
      <c r="G4" s="56">
        <f t="shared" si="1"/>
        <v>0</v>
      </c>
      <c r="H4" s="55">
        <f t="shared" si="2"/>
        <v>-54752500</v>
      </c>
      <c r="I4" s="57" t="s">
        <v>27</v>
      </c>
      <c r="J4" s="58">
        <f>SUM(G3:G62)</f>
        <v>1283900000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>
      <c r="A5" s="51" t="s">
        <v>29</v>
      </c>
      <c r="B5" s="52" t="s">
        <v>30</v>
      </c>
      <c r="C5" s="53">
        <v>1000000</v>
      </c>
      <c r="D5" s="54" t="s">
        <v>31</v>
      </c>
      <c r="E5" s="52" t="s">
        <v>10</v>
      </c>
      <c r="F5" s="55">
        <f t="shared" si="0"/>
        <v>0</v>
      </c>
      <c r="G5" s="56">
        <f t="shared" si="1"/>
        <v>1000000</v>
      </c>
      <c r="H5" s="55">
        <f t="shared" si="2"/>
        <v>0</v>
      </c>
      <c r="I5" s="57" t="s">
        <v>32</v>
      </c>
      <c r="J5" s="58">
        <f>SUM(H3:H62)</f>
        <v>1240960000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">
      <c r="A6" s="51" t="s">
        <v>34</v>
      </c>
      <c r="B6" s="52" t="s">
        <v>35</v>
      </c>
      <c r="C6" s="53">
        <v>654000</v>
      </c>
      <c r="D6" s="54" t="s">
        <v>31</v>
      </c>
      <c r="E6" s="52" t="s">
        <v>10</v>
      </c>
      <c r="F6" s="55">
        <f t="shared" si="0"/>
        <v>0</v>
      </c>
      <c r="G6" s="56">
        <f t="shared" si="1"/>
        <v>654000</v>
      </c>
      <c r="H6" s="55">
        <f t="shared" si="2"/>
        <v>0</v>
      </c>
      <c r="I6" s="59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9.899999999999999">
      <c r="A7" s="51" t="s">
        <v>40</v>
      </c>
      <c r="B7" s="52" t="s">
        <v>41</v>
      </c>
      <c r="C7" s="53">
        <v>580000</v>
      </c>
      <c r="D7" s="54" t="s">
        <v>31</v>
      </c>
      <c r="E7" s="52" t="s">
        <v>10</v>
      </c>
      <c r="F7" s="55">
        <f t="shared" si="0"/>
        <v>0</v>
      </c>
      <c r="G7" s="56">
        <f t="shared" si="1"/>
        <v>580000</v>
      </c>
      <c r="H7" s="55">
        <f t="shared" si="2"/>
        <v>0</v>
      </c>
      <c r="I7" s="116" t="s">
        <v>273</v>
      </c>
      <c r="J7" s="1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">
      <c r="A8" s="51" t="s">
        <v>45</v>
      </c>
      <c r="B8" s="52" t="s">
        <v>46</v>
      </c>
      <c r="C8" s="53">
        <v>1700000</v>
      </c>
      <c r="D8" s="54" t="s">
        <v>31</v>
      </c>
      <c r="E8" s="52" t="s">
        <v>10</v>
      </c>
      <c r="F8" s="55">
        <f t="shared" si="0"/>
        <v>0</v>
      </c>
      <c r="G8" s="56">
        <f t="shared" si="1"/>
        <v>1700000</v>
      </c>
      <c r="H8" s="55">
        <f t="shared" si="2"/>
        <v>0</v>
      </c>
      <c r="I8" s="60" t="s">
        <v>47</v>
      </c>
      <c r="J8" s="61">
        <f>J3- MIN(J3,J4,J5)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">
      <c r="A9" s="51" t="s">
        <v>53</v>
      </c>
      <c r="B9" s="52" t="s">
        <v>54</v>
      </c>
      <c r="C9" s="53">
        <v>7000000</v>
      </c>
      <c r="D9" s="54" t="s">
        <v>31</v>
      </c>
      <c r="E9" s="52" t="s">
        <v>10</v>
      </c>
      <c r="F9" s="55">
        <f t="shared" si="0"/>
        <v>0</v>
      </c>
      <c r="G9" s="56">
        <f t="shared" si="1"/>
        <v>7000000</v>
      </c>
      <c r="H9" s="55">
        <f t="shared" si="2"/>
        <v>0</v>
      </c>
      <c r="I9" s="60" t="s">
        <v>57</v>
      </c>
      <c r="J9" s="61">
        <f>J4- MIN(J3,J4,J5)</f>
        <v>538900000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">
      <c r="A10" s="51" t="s">
        <v>58</v>
      </c>
      <c r="B10" s="52" t="s">
        <v>59</v>
      </c>
      <c r="C10" s="53">
        <v>3300000</v>
      </c>
      <c r="D10" s="54" t="s">
        <v>31</v>
      </c>
      <c r="E10" s="52" t="s">
        <v>10</v>
      </c>
      <c r="F10" s="55">
        <f t="shared" si="0"/>
        <v>0</v>
      </c>
      <c r="G10" s="56">
        <f t="shared" si="1"/>
        <v>3300000</v>
      </c>
      <c r="H10" s="55">
        <f t="shared" si="2"/>
        <v>0</v>
      </c>
      <c r="I10" s="60" t="s">
        <v>63</v>
      </c>
      <c r="J10" s="61">
        <f>J5- MIN(J3,J4,J5)</f>
        <v>495960000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">
      <c r="A11" s="51" t="s">
        <v>64</v>
      </c>
      <c r="B11" s="52" t="s">
        <v>65</v>
      </c>
      <c r="C11" s="53">
        <v>15000000</v>
      </c>
      <c r="D11" s="54" t="s">
        <v>31</v>
      </c>
      <c r="E11" s="52" t="s">
        <v>11</v>
      </c>
      <c r="F11" s="55">
        <f t="shared" si="0"/>
        <v>0</v>
      </c>
      <c r="G11" s="56">
        <f t="shared" si="1"/>
        <v>0</v>
      </c>
      <c r="H11" s="55">
        <f t="shared" si="2"/>
        <v>15000000</v>
      </c>
      <c r="I11" s="59"/>
      <c r="J11" s="5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8">
      <c r="A12" s="51" t="s">
        <v>58</v>
      </c>
      <c r="B12" s="52" t="s">
        <v>69</v>
      </c>
      <c r="C12" s="53">
        <v>70000000</v>
      </c>
      <c r="D12" s="54" t="s">
        <v>31</v>
      </c>
      <c r="E12" s="52" t="s">
        <v>11</v>
      </c>
      <c r="F12" s="55">
        <f t="shared" si="0"/>
        <v>0</v>
      </c>
      <c r="G12" s="56">
        <f t="shared" si="1"/>
        <v>0</v>
      </c>
      <c r="H12" s="55">
        <f t="shared" si="2"/>
        <v>70000000</v>
      </c>
      <c r="I12" s="59"/>
      <c r="J12" s="5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8">
      <c r="A13" s="51" t="s">
        <v>70</v>
      </c>
      <c r="B13" s="52" t="s">
        <v>71</v>
      </c>
      <c r="C13" s="53">
        <v>70000000</v>
      </c>
      <c r="D13" s="54" t="s">
        <v>19</v>
      </c>
      <c r="E13" s="52" t="s">
        <v>11</v>
      </c>
      <c r="F13" s="55">
        <f t="shared" si="0"/>
        <v>0</v>
      </c>
      <c r="G13" s="56">
        <f t="shared" si="1"/>
        <v>0</v>
      </c>
      <c r="H13" s="55">
        <f t="shared" si="2"/>
        <v>-70000000</v>
      </c>
      <c r="I13" s="59"/>
      <c r="J13" s="5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8">
      <c r="A14" s="51" t="s">
        <v>70</v>
      </c>
      <c r="B14" s="52" t="s">
        <v>76</v>
      </c>
      <c r="C14" s="53">
        <v>15000000</v>
      </c>
      <c r="D14" s="54" t="s">
        <v>19</v>
      </c>
      <c r="E14" s="52" t="s">
        <v>11</v>
      </c>
      <c r="F14" s="55">
        <f t="shared" si="0"/>
        <v>0</v>
      </c>
      <c r="G14" s="56">
        <f t="shared" si="1"/>
        <v>0</v>
      </c>
      <c r="H14" s="55">
        <f t="shared" si="2"/>
        <v>-15000000</v>
      </c>
      <c r="I14" s="117" t="s">
        <v>77</v>
      </c>
      <c r="J14" s="1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8">
      <c r="A15" s="51" t="s">
        <v>79</v>
      </c>
      <c r="B15" s="52" t="s">
        <v>81</v>
      </c>
      <c r="C15" s="53">
        <v>182000</v>
      </c>
      <c r="D15" s="54" t="s">
        <v>31</v>
      </c>
      <c r="E15" s="52" t="s">
        <v>9</v>
      </c>
      <c r="F15" s="55">
        <f t="shared" si="0"/>
        <v>182000</v>
      </c>
      <c r="G15" s="56">
        <f t="shared" si="1"/>
        <v>0</v>
      </c>
      <c r="H15" s="55">
        <f t="shared" si="2"/>
        <v>0</v>
      </c>
      <c r="I15" s="59" t="s">
        <v>84</v>
      </c>
      <c r="J15" s="58">
        <f>SUM(F3:F43)</f>
        <v>-169000000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8">
      <c r="A16" s="51" t="s">
        <v>79</v>
      </c>
      <c r="B16" s="52" t="s">
        <v>85</v>
      </c>
      <c r="C16" s="53">
        <v>2250000</v>
      </c>
      <c r="D16" s="54" t="s">
        <v>31</v>
      </c>
      <c r="E16" s="52" t="s">
        <v>10</v>
      </c>
      <c r="F16" s="55">
        <f t="shared" si="0"/>
        <v>0</v>
      </c>
      <c r="G16" s="56">
        <f t="shared" si="1"/>
        <v>2250000</v>
      </c>
      <c r="H16" s="55">
        <f t="shared" si="2"/>
        <v>0</v>
      </c>
      <c r="I16" s="59" t="s">
        <v>87</v>
      </c>
      <c r="J16" s="58">
        <f>SUM(G3:G43)</f>
        <v>-70000000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8">
      <c r="A17" s="51" t="s">
        <v>79</v>
      </c>
      <c r="B17" s="52" t="s">
        <v>90</v>
      </c>
      <c r="C17" s="53">
        <v>2250000</v>
      </c>
      <c r="D17" s="54" t="s">
        <v>31</v>
      </c>
      <c r="E17" s="52" t="s">
        <v>10</v>
      </c>
      <c r="F17" s="55">
        <f t="shared" si="0"/>
        <v>0</v>
      </c>
      <c r="G17" s="56">
        <f t="shared" si="1"/>
        <v>2250000</v>
      </c>
      <c r="H17" s="55">
        <f t="shared" si="2"/>
        <v>0</v>
      </c>
      <c r="I17" s="59" t="s">
        <v>91</v>
      </c>
      <c r="J17" s="58">
        <f>SUM(H3:H43)</f>
        <v>-95000000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8">
      <c r="A18" s="51" t="s">
        <v>93</v>
      </c>
      <c r="B18" s="52" t="s">
        <v>94</v>
      </c>
      <c r="C18" s="53">
        <v>30000000</v>
      </c>
      <c r="D18" s="54" t="s">
        <v>19</v>
      </c>
      <c r="E18" s="52" t="s">
        <v>11</v>
      </c>
      <c r="F18" s="55">
        <f t="shared" si="0"/>
        <v>0</v>
      </c>
      <c r="G18" s="56">
        <f t="shared" si="1"/>
        <v>0</v>
      </c>
      <c r="H18" s="55">
        <f t="shared" si="2"/>
        <v>-30000000</v>
      </c>
      <c r="I18" s="59"/>
      <c r="J18" s="5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8">
      <c r="A19" s="51" t="s">
        <v>93</v>
      </c>
      <c r="B19" s="52" t="s">
        <v>99</v>
      </c>
      <c r="C19" s="53">
        <v>30000000</v>
      </c>
      <c r="D19" s="54" t="s">
        <v>19</v>
      </c>
      <c r="E19" s="52" t="s">
        <v>9</v>
      </c>
      <c r="F19" s="55">
        <f t="shared" si="0"/>
        <v>-30000000</v>
      </c>
      <c r="G19" s="56">
        <f t="shared" si="1"/>
        <v>0</v>
      </c>
      <c r="H19" s="55">
        <f t="shared" si="2"/>
        <v>0</v>
      </c>
      <c r="I19" s="59"/>
      <c r="J19" s="5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8">
      <c r="A20" s="51" t="s">
        <v>93</v>
      </c>
      <c r="B20" s="52" t="s">
        <v>100</v>
      </c>
      <c r="C20" s="53">
        <v>18734000</v>
      </c>
      <c r="D20" s="54" t="s">
        <v>19</v>
      </c>
      <c r="E20" s="52" t="s">
        <v>10</v>
      </c>
      <c r="F20" s="55">
        <f t="shared" si="0"/>
        <v>0</v>
      </c>
      <c r="G20" s="56">
        <f t="shared" si="1"/>
        <v>-18734000</v>
      </c>
      <c r="H20" s="55">
        <f t="shared" si="2"/>
        <v>0</v>
      </c>
      <c r="I20" s="59"/>
      <c r="J20" s="5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1" t="s">
        <v>93</v>
      </c>
      <c r="B21" s="52" t="s">
        <v>104</v>
      </c>
      <c r="C21" s="53">
        <v>30000000</v>
      </c>
      <c r="D21" s="54" t="s">
        <v>19</v>
      </c>
      <c r="E21" s="52" t="s">
        <v>10</v>
      </c>
      <c r="F21" s="55">
        <f t="shared" si="0"/>
        <v>0</v>
      </c>
      <c r="G21" s="56">
        <f t="shared" si="1"/>
        <v>-30000000</v>
      </c>
      <c r="H21" s="55">
        <f t="shared" si="2"/>
        <v>0</v>
      </c>
      <c r="I21" s="59"/>
      <c r="J21" s="5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1" t="s">
        <v>93</v>
      </c>
      <c r="B22" s="52" t="s">
        <v>107</v>
      </c>
      <c r="C22" s="53">
        <v>23016300</v>
      </c>
      <c r="D22" s="54" t="s">
        <v>31</v>
      </c>
      <c r="E22" s="52" t="s">
        <v>9</v>
      </c>
      <c r="F22" s="55">
        <f t="shared" si="0"/>
        <v>23016300</v>
      </c>
      <c r="G22" s="56">
        <f t="shared" si="1"/>
        <v>0</v>
      </c>
      <c r="H22" s="55">
        <f t="shared" si="2"/>
        <v>0</v>
      </c>
      <c r="I22" s="59"/>
      <c r="J22" s="5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1" t="s">
        <v>112</v>
      </c>
      <c r="B23" s="52" t="s">
        <v>113</v>
      </c>
      <c r="C23" s="53">
        <v>10000</v>
      </c>
      <c r="D23" s="54" t="s">
        <v>31</v>
      </c>
      <c r="E23" s="52" t="s">
        <v>9</v>
      </c>
      <c r="F23" s="55">
        <f t="shared" si="0"/>
        <v>10000</v>
      </c>
      <c r="G23" s="56">
        <f t="shared" si="1"/>
        <v>0</v>
      </c>
      <c r="H23" s="55">
        <f t="shared" si="2"/>
        <v>0</v>
      </c>
      <c r="I23" s="59"/>
      <c r="J23" s="5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1" t="s">
        <v>112</v>
      </c>
      <c r="B24" s="52" t="s">
        <v>115</v>
      </c>
      <c r="C24" s="53">
        <v>54000000</v>
      </c>
      <c r="D24" s="54" t="s">
        <v>19</v>
      </c>
      <c r="E24" s="52" t="s">
        <v>9</v>
      </c>
      <c r="F24" s="55">
        <f t="shared" si="0"/>
        <v>-54000000</v>
      </c>
      <c r="G24" s="56">
        <f t="shared" si="1"/>
        <v>0</v>
      </c>
      <c r="H24" s="55">
        <f t="shared" si="2"/>
        <v>0</v>
      </c>
      <c r="I24" s="59"/>
      <c r="J24" s="5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1" t="s">
        <v>112</v>
      </c>
      <c r="B25" s="62" t="s">
        <v>117</v>
      </c>
      <c r="C25" s="53">
        <v>23016300</v>
      </c>
      <c r="D25" s="54" t="s">
        <v>19</v>
      </c>
      <c r="E25" s="52" t="s">
        <v>9</v>
      </c>
      <c r="F25" s="55">
        <f t="shared" si="0"/>
        <v>-23016300</v>
      </c>
      <c r="G25" s="56">
        <f t="shared" si="1"/>
        <v>0</v>
      </c>
      <c r="H25" s="55">
        <f t="shared" si="2"/>
        <v>0</v>
      </c>
      <c r="I25" s="59"/>
      <c r="J25" s="5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1" t="s">
        <v>112</v>
      </c>
      <c r="B26" s="52" t="s">
        <v>120</v>
      </c>
      <c r="C26" s="53">
        <v>20000000</v>
      </c>
      <c r="D26" s="54" t="s">
        <v>19</v>
      </c>
      <c r="E26" s="52" t="s">
        <v>9</v>
      </c>
      <c r="F26" s="55">
        <f t="shared" si="0"/>
        <v>-20000000</v>
      </c>
      <c r="G26" s="56">
        <f t="shared" si="1"/>
        <v>0</v>
      </c>
      <c r="H26" s="55">
        <f t="shared" si="2"/>
        <v>0</v>
      </c>
      <c r="I26" s="59"/>
      <c r="J26" s="5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1" t="s">
        <v>125</v>
      </c>
      <c r="B27" s="52" t="s">
        <v>120</v>
      </c>
      <c r="C27" s="53">
        <v>30000000</v>
      </c>
      <c r="D27" s="54" t="s">
        <v>19</v>
      </c>
      <c r="E27" s="52" t="s">
        <v>9</v>
      </c>
      <c r="F27" s="55">
        <f t="shared" si="0"/>
        <v>-30000000</v>
      </c>
      <c r="G27" s="56">
        <f t="shared" si="1"/>
        <v>0</v>
      </c>
      <c r="H27" s="55">
        <f t="shared" si="2"/>
        <v>0</v>
      </c>
      <c r="I27" s="59"/>
      <c r="J27" s="5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1" t="s">
        <v>128</v>
      </c>
      <c r="B28" s="52" t="s">
        <v>129</v>
      </c>
      <c r="C28" s="53">
        <v>10000000</v>
      </c>
      <c r="D28" s="54" t="s">
        <v>19</v>
      </c>
      <c r="E28" s="52" t="s">
        <v>10</v>
      </c>
      <c r="F28" s="55">
        <f t="shared" si="0"/>
        <v>0</v>
      </c>
      <c r="G28" s="56">
        <f t="shared" si="1"/>
        <v>-10000000</v>
      </c>
      <c r="H28" s="55">
        <f t="shared" si="2"/>
        <v>0</v>
      </c>
      <c r="I28" s="59"/>
      <c r="J28" s="59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1" t="s">
        <v>128</v>
      </c>
      <c r="B29" s="52" t="s">
        <v>133</v>
      </c>
      <c r="C29" s="53">
        <v>182000</v>
      </c>
      <c r="D29" s="54" t="s">
        <v>31</v>
      </c>
      <c r="E29" s="52" t="s">
        <v>9</v>
      </c>
      <c r="F29" s="55">
        <f t="shared" si="0"/>
        <v>182000</v>
      </c>
      <c r="G29" s="56">
        <f t="shared" si="1"/>
        <v>0</v>
      </c>
      <c r="H29" s="55">
        <f t="shared" si="2"/>
        <v>0</v>
      </c>
      <c r="I29" s="59"/>
      <c r="J29" s="5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1" t="s">
        <v>128</v>
      </c>
      <c r="B30" s="52" t="s">
        <v>135</v>
      </c>
      <c r="C30" s="53">
        <v>182000</v>
      </c>
      <c r="D30" s="54" t="s">
        <v>19</v>
      </c>
      <c r="E30" s="52" t="s">
        <v>9</v>
      </c>
      <c r="F30" s="55">
        <f t="shared" si="0"/>
        <v>-182000</v>
      </c>
      <c r="G30" s="56">
        <f t="shared" si="1"/>
        <v>0</v>
      </c>
      <c r="H30" s="55">
        <f t="shared" si="2"/>
        <v>0</v>
      </c>
      <c r="I30" s="59"/>
      <c r="J30" s="59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1" t="s">
        <v>128</v>
      </c>
      <c r="B31" s="52" t="s">
        <v>139</v>
      </c>
      <c r="C31" s="53">
        <v>182000</v>
      </c>
      <c r="D31" s="54" t="s">
        <v>19</v>
      </c>
      <c r="E31" s="52" t="s">
        <v>9</v>
      </c>
      <c r="F31" s="55">
        <f t="shared" si="0"/>
        <v>-182000</v>
      </c>
      <c r="G31" s="56">
        <f t="shared" si="1"/>
        <v>0</v>
      </c>
      <c r="H31" s="55">
        <f t="shared" si="2"/>
        <v>0</v>
      </c>
      <c r="I31" s="59"/>
      <c r="J31" s="59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1" t="s">
        <v>128</v>
      </c>
      <c r="B32" s="52" t="s">
        <v>141</v>
      </c>
      <c r="C32" s="53">
        <v>10000</v>
      </c>
      <c r="D32" s="54" t="s">
        <v>19</v>
      </c>
      <c r="E32" s="52" t="s">
        <v>9</v>
      </c>
      <c r="F32" s="55">
        <f t="shared" si="0"/>
        <v>-10000</v>
      </c>
      <c r="G32" s="56">
        <f t="shared" si="1"/>
        <v>0</v>
      </c>
      <c r="H32" s="55">
        <f t="shared" si="2"/>
        <v>0</v>
      </c>
      <c r="I32" s="59"/>
      <c r="J32" s="59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1" t="s">
        <v>144</v>
      </c>
      <c r="B33" s="52" t="s">
        <v>145</v>
      </c>
      <c r="C33" s="53">
        <v>15000000</v>
      </c>
      <c r="D33" s="54" t="s">
        <v>31</v>
      </c>
      <c r="E33" s="52" t="s">
        <v>11</v>
      </c>
      <c r="F33" s="55">
        <f t="shared" si="0"/>
        <v>0</v>
      </c>
      <c r="G33" s="56">
        <f t="shared" si="1"/>
        <v>0</v>
      </c>
      <c r="H33" s="55">
        <f t="shared" si="2"/>
        <v>15000000</v>
      </c>
      <c r="I33" s="59"/>
      <c r="J33" s="59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1" t="s">
        <v>144</v>
      </c>
      <c r="B34" s="52" t="s">
        <v>149</v>
      </c>
      <c r="C34" s="53">
        <v>5000000</v>
      </c>
      <c r="D34" s="54" t="s">
        <v>19</v>
      </c>
      <c r="E34" s="52" t="s">
        <v>9</v>
      </c>
      <c r="F34" s="55">
        <f t="shared" si="0"/>
        <v>-5000000</v>
      </c>
      <c r="G34" s="56">
        <f t="shared" si="1"/>
        <v>0</v>
      </c>
      <c r="H34" s="55">
        <f t="shared" si="2"/>
        <v>0</v>
      </c>
      <c r="I34" s="59"/>
      <c r="J34" s="59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1" t="s">
        <v>144</v>
      </c>
      <c r="B35" s="52" t="s">
        <v>149</v>
      </c>
      <c r="C35" s="53">
        <v>5000000</v>
      </c>
      <c r="D35" s="54" t="s">
        <v>19</v>
      </c>
      <c r="E35" s="52" t="s">
        <v>10</v>
      </c>
      <c r="F35" s="55">
        <f t="shared" si="0"/>
        <v>0</v>
      </c>
      <c r="G35" s="56">
        <f t="shared" si="1"/>
        <v>-5000000</v>
      </c>
      <c r="H35" s="55">
        <f t="shared" si="2"/>
        <v>0</v>
      </c>
      <c r="I35" s="59"/>
      <c r="J35" s="59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1" t="s">
        <v>144</v>
      </c>
      <c r="B36" s="52" t="s">
        <v>149</v>
      </c>
      <c r="C36" s="53">
        <v>5000000</v>
      </c>
      <c r="D36" s="54" t="s">
        <v>19</v>
      </c>
      <c r="E36" s="52" t="s">
        <v>11</v>
      </c>
      <c r="F36" s="55">
        <f t="shared" si="0"/>
        <v>0</v>
      </c>
      <c r="G36" s="56">
        <f t="shared" si="1"/>
        <v>0</v>
      </c>
      <c r="H36" s="55">
        <f t="shared" si="2"/>
        <v>-5000000</v>
      </c>
      <c r="I36" s="59"/>
      <c r="J36" s="59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1" t="s">
        <v>153</v>
      </c>
      <c r="B37" s="52" t="s">
        <v>154</v>
      </c>
      <c r="C37" s="53">
        <v>5000000</v>
      </c>
      <c r="D37" s="54" t="s">
        <v>31</v>
      </c>
      <c r="E37" s="52" t="s">
        <v>11</v>
      </c>
      <c r="F37" s="55">
        <f t="shared" si="0"/>
        <v>0</v>
      </c>
      <c r="G37" s="56">
        <f t="shared" si="1"/>
        <v>0</v>
      </c>
      <c r="H37" s="55">
        <f t="shared" si="2"/>
        <v>5000000</v>
      </c>
      <c r="I37" s="59"/>
      <c r="J37" s="59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1" t="s">
        <v>153</v>
      </c>
      <c r="B38" s="52" t="s">
        <v>156</v>
      </c>
      <c r="C38" s="53">
        <v>1666666</v>
      </c>
      <c r="D38" s="54" t="s">
        <v>19</v>
      </c>
      <c r="E38" s="52" t="s">
        <v>9</v>
      </c>
      <c r="F38" s="55">
        <f t="shared" si="0"/>
        <v>-1666666</v>
      </c>
      <c r="G38" s="56">
        <f t="shared" si="1"/>
        <v>0</v>
      </c>
      <c r="H38" s="55">
        <f t="shared" si="2"/>
        <v>0</v>
      </c>
      <c r="I38" s="59"/>
      <c r="J38" s="59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1" t="s">
        <v>153</v>
      </c>
      <c r="B39" s="52" t="s">
        <v>156</v>
      </c>
      <c r="C39" s="53">
        <v>1666666</v>
      </c>
      <c r="D39" s="54" t="s">
        <v>19</v>
      </c>
      <c r="E39" s="52" t="s">
        <v>10</v>
      </c>
      <c r="F39" s="55">
        <f t="shared" si="0"/>
        <v>0</v>
      </c>
      <c r="G39" s="56">
        <f t="shared" si="1"/>
        <v>-1666666</v>
      </c>
      <c r="H39" s="55">
        <f t="shared" si="2"/>
        <v>0</v>
      </c>
      <c r="I39" s="59"/>
      <c r="J39" s="59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1" t="s">
        <v>153</v>
      </c>
      <c r="B40" s="52" t="s">
        <v>156</v>
      </c>
      <c r="C40" s="53">
        <v>1666666</v>
      </c>
      <c r="D40" s="54" t="s">
        <v>19</v>
      </c>
      <c r="E40" s="52" t="s">
        <v>11</v>
      </c>
      <c r="F40" s="55">
        <f t="shared" si="0"/>
        <v>0</v>
      </c>
      <c r="G40" s="56">
        <f t="shared" si="1"/>
        <v>0</v>
      </c>
      <c r="H40" s="55">
        <f t="shared" si="2"/>
        <v>-1666666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1" t="s">
        <v>158</v>
      </c>
      <c r="B41" s="52" t="s">
        <v>159</v>
      </c>
      <c r="C41" s="53">
        <v>23333334</v>
      </c>
      <c r="D41" s="54" t="s">
        <v>19</v>
      </c>
      <c r="E41" s="52" t="s">
        <v>9</v>
      </c>
      <c r="F41" s="55">
        <f t="shared" si="0"/>
        <v>-23333334</v>
      </c>
      <c r="G41" s="56">
        <f t="shared" si="1"/>
        <v>0</v>
      </c>
      <c r="H41" s="55">
        <f t="shared" si="2"/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1" t="s">
        <v>158</v>
      </c>
      <c r="B42" s="52" t="s">
        <v>161</v>
      </c>
      <c r="C42" s="53">
        <v>23580834</v>
      </c>
      <c r="D42" s="54" t="s">
        <v>19</v>
      </c>
      <c r="E42" s="52" t="s">
        <v>11</v>
      </c>
      <c r="F42" s="55">
        <f t="shared" si="0"/>
        <v>0</v>
      </c>
      <c r="G42" s="56">
        <f t="shared" si="1"/>
        <v>0</v>
      </c>
      <c r="H42" s="55">
        <f t="shared" si="2"/>
        <v>-23580834</v>
      </c>
      <c r="I42" s="59"/>
      <c r="J42" s="59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63" t="s">
        <v>158</v>
      </c>
      <c r="B43" s="64" t="s">
        <v>159</v>
      </c>
      <c r="C43" s="65">
        <v>23333334</v>
      </c>
      <c r="D43" s="66" t="s">
        <v>19</v>
      </c>
      <c r="E43" s="64" t="s">
        <v>10</v>
      </c>
      <c r="F43" s="55">
        <f t="shared" si="0"/>
        <v>0</v>
      </c>
      <c r="G43" s="56">
        <f t="shared" si="1"/>
        <v>-23333334</v>
      </c>
      <c r="H43" s="55">
        <f t="shared" si="2"/>
        <v>0</v>
      </c>
      <c r="I43" s="59"/>
      <c r="J43" s="59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67"/>
      <c r="B44" s="68" t="s">
        <v>163</v>
      </c>
      <c r="C44" s="69"/>
      <c r="D44" s="70"/>
      <c r="E44" s="71"/>
      <c r="F44" s="72" t="str">
        <f t="shared" si="0"/>
        <v/>
      </c>
      <c r="G44" s="56" t="str">
        <f t="shared" si="1"/>
        <v/>
      </c>
      <c r="H44" s="55" t="str">
        <f t="shared" si="2"/>
        <v/>
      </c>
      <c r="I44" s="59"/>
      <c r="J44" s="59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73"/>
      <c r="B45" s="52" t="s">
        <v>167</v>
      </c>
      <c r="C45" s="53">
        <v>500000000</v>
      </c>
      <c r="D45" s="54" t="s">
        <v>31</v>
      </c>
      <c r="E45" s="74" t="s">
        <v>10</v>
      </c>
      <c r="F45" s="72">
        <f t="shared" si="0"/>
        <v>0</v>
      </c>
      <c r="G45" s="56">
        <f t="shared" si="1"/>
        <v>500000000</v>
      </c>
      <c r="H45" s="55">
        <f t="shared" si="2"/>
        <v>0</v>
      </c>
      <c r="I45" s="59"/>
      <c r="J45" s="59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73"/>
      <c r="B46" s="52" t="s">
        <v>170</v>
      </c>
      <c r="C46" s="53">
        <v>200000000</v>
      </c>
      <c r="D46" s="54" t="s">
        <v>31</v>
      </c>
      <c r="E46" s="74" t="s">
        <v>10</v>
      </c>
      <c r="F46" s="72">
        <f t="shared" si="0"/>
        <v>0</v>
      </c>
      <c r="G46" s="56">
        <f t="shared" si="1"/>
        <v>200000000</v>
      </c>
      <c r="H46" s="55">
        <f t="shared" si="2"/>
        <v>0</v>
      </c>
      <c r="I46" s="59"/>
      <c r="J46" s="59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73"/>
      <c r="B47" s="52" t="s">
        <v>172</v>
      </c>
      <c r="C47" s="53">
        <v>100000000</v>
      </c>
      <c r="D47" s="54" t="s">
        <v>31</v>
      </c>
      <c r="E47" s="74" t="s">
        <v>10</v>
      </c>
      <c r="F47" s="72">
        <f t="shared" si="0"/>
        <v>0</v>
      </c>
      <c r="G47" s="56">
        <f t="shared" si="1"/>
        <v>100000000</v>
      </c>
      <c r="H47" s="55">
        <f t="shared" si="2"/>
        <v>0</v>
      </c>
      <c r="I47" s="59"/>
      <c r="J47" s="59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73"/>
      <c r="B48" s="52" t="s">
        <v>173</v>
      </c>
      <c r="C48" s="53">
        <v>20300000</v>
      </c>
      <c r="D48" s="54" t="s">
        <v>31</v>
      </c>
      <c r="E48" s="74" t="s">
        <v>10</v>
      </c>
      <c r="F48" s="72">
        <f t="shared" si="0"/>
        <v>0</v>
      </c>
      <c r="G48" s="56">
        <f t="shared" si="1"/>
        <v>20300000</v>
      </c>
      <c r="H48" s="55">
        <f t="shared" si="2"/>
        <v>0</v>
      </c>
      <c r="I48" s="59"/>
      <c r="J48" s="59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73"/>
      <c r="B49" s="52" t="s">
        <v>176</v>
      </c>
      <c r="C49" s="53">
        <v>63600000</v>
      </c>
      <c r="D49" s="54" t="s">
        <v>31</v>
      </c>
      <c r="E49" s="74" t="s">
        <v>10</v>
      </c>
      <c r="F49" s="72">
        <f t="shared" si="0"/>
        <v>0</v>
      </c>
      <c r="G49" s="56">
        <f t="shared" si="1"/>
        <v>63600000</v>
      </c>
      <c r="H49" s="55">
        <f t="shared" si="2"/>
        <v>0</v>
      </c>
      <c r="I49" s="59"/>
      <c r="J49" s="5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75" t="s">
        <v>177</v>
      </c>
      <c r="B50" s="52" t="s">
        <v>180</v>
      </c>
      <c r="C50" s="53">
        <v>200000000</v>
      </c>
      <c r="D50" s="54" t="s">
        <v>31</v>
      </c>
      <c r="E50" s="74" t="s">
        <v>10</v>
      </c>
      <c r="F50" s="72">
        <f t="shared" si="0"/>
        <v>0</v>
      </c>
      <c r="G50" s="56">
        <f t="shared" si="1"/>
        <v>200000000</v>
      </c>
      <c r="H50" s="55">
        <f t="shared" si="2"/>
        <v>0</v>
      </c>
      <c r="I50" s="59"/>
      <c r="J50" s="59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75" t="s">
        <v>58</v>
      </c>
      <c r="B51" s="52" t="s">
        <v>181</v>
      </c>
      <c r="C51" s="53">
        <v>200000000</v>
      </c>
      <c r="D51" s="54" t="s">
        <v>31</v>
      </c>
      <c r="E51" s="74" t="s">
        <v>10</v>
      </c>
      <c r="F51" s="72">
        <f t="shared" si="0"/>
        <v>0</v>
      </c>
      <c r="G51" s="56">
        <f t="shared" si="1"/>
        <v>200000000</v>
      </c>
      <c r="H51" s="55">
        <f t="shared" si="2"/>
        <v>0</v>
      </c>
      <c r="I51" s="59"/>
      <c r="J51" s="59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75" t="s">
        <v>40</v>
      </c>
      <c r="B52" s="52" t="s">
        <v>180</v>
      </c>
      <c r="C52" s="53">
        <v>70000000</v>
      </c>
      <c r="D52" s="54" t="s">
        <v>31</v>
      </c>
      <c r="E52" s="74" t="s">
        <v>10</v>
      </c>
      <c r="F52" s="72">
        <f t="shared" si="0"/>
        <v>0</v>
      </c>
      <c r="G52" s="56">
        <f t="shared" si="1"/>
        <v>70000000</v>
      </c>
      <c r="H52" s="55">
        <f t="shared" si="2"/>
        <v>0</v>
      </c>
      <c r="I52" s="59"/>
      <c r="J52" s="59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73"/>
      <c r="B53" s="76" t="s">
        <v>184</v>
      </c>
      <c r="C53" s="77">
        <f>SUM(C45:C52)</f>
        <v>1353900000</v>
      </c>
      <c r="D53" s="54"/>
      <c r="E53" s="74"/>
      <c r="F53" s="72" t="str">
        <f t="shared" si="0"/>
        <v/>
      </c>
      <c r="G53" s="56" t="str">
        <f t="shared" si="1"/>
        <v/>
      </c>
      <c r="H53" s="55" t="str">
        <f t="shared" si="2"/>
        <v/>
      </c>
      <c r="I53" s="59"/>
      <c r="J53" s="59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73"/>
      <c r="B54" s="52"/>
      <c r="C54" s="53"/>
      <c r="D54" s="54"/>
      <c r="E54" s="74"/>
      <c r="F54" s="72" t="str">
        <f t="shared" si="0"/>
        <v/>
      </c>
      <c r="G54" s="56" t="str">
        <f t="shared" si="1"/>
        <v/>
      </c>
      <c r="H54" s="55" t="str">
        <f t="shared" si="2"/>
        <v/>
      </c>
      <c r="I54" s="59"/>
      <c r="J54" s="59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73"/>
      <c r="B55" s="78" t="s">
        <v>187</v>
      </c>
      <c r="C55" s="53"/>
      <c r="D55" s="54"/>
      <c r="E55" s="74"/>
      <c r="F55" s="72" t="str">
        <f t="shared" si="0"/>
        <v/>
      </c>
      <c r="G55" s="56" t="str">
        <f t="shared" si="1"/>
        <v/>
      </c>
      <c r="H55" s="55" t="str">
        <f t="shared" si="2"/>
        <v/>
      </c>
      <c r="I55" s="59"/>
      <c r="J55" s="59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73"/>
      <c r="B56" s="52" t="s">
        <v>189</v>
      </c>
      <c r="C56" s="53">
        <v>1009960000</v>
      </c>
      <c r="D56" s="54" t="s">
        <v>31</v>
      </c>
      <c r="E56" s="74" t="s">
        <v>11</v>
      </c>
      <c r="F56" s="72">
        <f t="shared" si="0"/>
        <v>0</v>
      </c>
      <c r="G56" s="56">
        <f t="shared" si="1"/>
        <v>0</v>
      </c>
      <c r="H56" s="55">
        <f t="shared" si="2"/>
        <v>1009960000</v>
      </c>
      <c r="I56" s="59"/>
      <c r="J56" s="59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73"/>
      <c r="B57" s="52" t="s">
        <v>190</v>
      </c>
      <c r="C57" s="53">
        <v>326000000</v>
      </c>
      <c r="D57" s="54" t="s">
        <v>31</v>
      </c>
      <c r="E57" s="74" t="s">
        <v>11</v>
      </c>
      <c r="F57" s="72">
        <f t="shared" si="0"/>
        <v>0</v>
      </c>
      <c r="G57" s="56">
        <f t="shared" si="1"/>
        <v>0</v>
      </c>
      <c r="H57" s="55">
        <f t="shared" si="2"/>
        <v>326000000</v>
      </c>
      <c r="I57" s="59"/>
      <c r="J57" s="59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73"/>
      <c r="B58" s="79" t="s">
        <v>191</v>
      </c>
      <c r="C58" s="80">
        <f>SUM(C56:C57)</f>
        <v>1335960000</v>
      </c>
      <c r="D58" s="54"/>
      <c r="E58" s="74"/>
      <c r="F58" s="72" t="str">
        <f t="shared" si="0"/>
        <v/>
      </c>
      <c r="G58" s="56" t="str">
        <f t="shared" si="1"/>
        <v/>
      </c>
      <c r="H58" s="55" t="str">
        <f t="shared" si="2"/>
        <v/>
      </c>
      <c r="I58" s="59"/>
      <c r="J58" s="59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73"/>
      <c r="B59" s="52"/>
      <c r="C59" s="53"/>
      <c r="D59" s="54"/>
      <c r="E59" s="74"/>
      <c r="F59" s="72" t="str">
        <f t="shared" si="0"/>
        <v/>
      </c>
      <c r="G59" s="56" t="str">
        <f t="shared" si="1"/>
        <v/>
      </c>
      <c r="H59" s="55" t="str">
        <f t="shared" si="2"/>
        <v/>
      </c>
      <c r="I59" s="59"/>
      <c r="J59" s="59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73"/>
      <c r="B60" s="52"/>
      <c r="C60" s="53"/>
      <c r="D60" s="54"/>
      <c r="E60" s="74"/>
      <c r="F60" s="72" t="str">
        <f t="shared" si="0"/>
        <v/>
      </c>
      <c r="G60" s="56" t="str">
        <f t="shared" si="1"/>
        <v/>
      </c>
      <c r="H60" s="55" t="str">
        <f t="shared" si="2"/>
        <v/>
      </c>
      <c r="I60" s="59"/>
      <c r="J60" s="59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73"/>
      <c r="B61" s="78" t="s">
        <v>192</v>
      </c>
      <c r="C61" s="53"/>
      <c r="D61" s="54"/>
      <c r="E61" s="74"/>
      <c r="F61" s="72" t="str">
        <f t="shared" si="0"/>
        <v/>
      </c>
      <c r="G61" s="56" t="str">
        <f t="shared" si="1"/>
        <v/>
      </c>
      <c r="H61" s="55" t="str">
        <f t="shared" si="2"/>
        <v/>
      </c>
      <c r="I61" s="59"/>
      <c r="J61" s="59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75" t="s">
        <v>193</v>
      </c>
      <c r="B62" s="52" t="s">
        <v>194</v>
      </c>
      <c r="C62" s="53">
        <v>914000000</v>
      </c>
      <c r="D62" s="54" t="s">
        <v>31</v>
      </c>
      <c r="E62" s="74" t="s">
        <v>9</v>
      </c>
      <c r="F62" s="72">
        <f t="shared" si="0"/>
        <v>914000000</v>
      </c>
      <c r="G62" s="56">
        <f t="shared" si="1"/>
        <v>0</v>
      </c>
      <c r="H62" s="55">
        <f t="shared" si="2"/>
        <v>0</v>
      </c>
      <c r="I62" s="59"/>
      <c r="J62" s="59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73"/>
      <c r="B63" s="52"/>
      <c r="C63" s="53"/>
      <c r="D63" s="54"/>
      <c r="E63" s="74"/>
      <c r="F63" s="72" t="str">
        <f t="shared" si="0"/>
        <v/>
      </c>
      <c r="G63" s="56" t="str">
        <f t="shared" si="1"/>
        <v/>
      </c>
      <c r="H63" s="55" t="str">
        <f t="shared" si="2"/>
        <v/>
      </c>
      <c r="I63" s="59"/>
      <c r="J63" s="59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81"/>
      <c r="B64" s="82" t="s">
        <v>195</v>
      </c>
      <c r="C64" s="83">
        <f>SUM(C62:C63)</f>
        <v>914000000</v>
      </c>
      <c r="D64" s="84"/>
      <c r="E64" s="85"/>
      <c r="F64" s="72" t="str">
        <f t="shared" si="0"/>
        <v/>
      </c>
      <c r="G64" s="56" t="str">
        <f t="shared" si="1"/>
        <v/>
      </c>
      <c r="H64" s="55" t="str">
        <f t="shared" si="2"/>
        <v/>
      </c>
      <c r="I64" s="59"/>
      <c r="J64" s="59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86"/>
      <c r="B65" s="87"/>
      <c r="C65" s="88"/>
      <c r="D65" s="89"/>
      <c r="E65" s="87"/>
      <c r="F65" s="55" t="str">
        <f t="shared" si="0"/>
        <v/>
      </c>
      <c r="G65" s="56" t="str">
        <f t="shared" si="1"/>
        <v/>
      </c>
      <c r="H65" s="55" t="str">
        <f t="shared" si="2"/>
        <v/>
      </c>
      <c r="I65" s="59"/>
      <c r="J65" s="59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90"/>
      <c r="B66" s="52"/>
      <c r="C66" s="53"/>
      <c r="D66" s="54"/>
      <c r="E66" s="52"/>
      <c r="F66" s="55" t="str">
        <f t="shared" si="0"/>
        <v/>
      </c>
      <c r="G66" s="56" t="str">
        <f t="shared" si="1"/>
        <v/>
      </c>
      <c r="H66" s="55" t="str">
        <f t="shared" si="2"/>
        <v/>
      </c>
      <c r="I66" s="59"/>
      <c r="J66" s="59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90"/>
      <c r="B67" s="52"/>
      <c r="C67" s="53"/>
      <c r="D67" s="54"/>
      <c r="E67" s="52"/>
      <c r="F67" s="55" t="str">
        <f t="shared" si="0"/>
        <v/>
      </c>
      <c r="G67" s="56" t="str">
        <f t="shared" si="1"/>
        <v/>
      </c>
      <c r="H67" s="55" t="str">
        <f t="shared" si="2"/>
        <v/>
      </c>
      <c r="I67" s="59"/>
      <c r="J67" s="59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90"/>
      <c r="B68" s="52"/>
      <c r="C68" s="53"/>
      <c r="D68" s="54"/>
      <c r="E68" s="52"/>
      <c r="F68" s="55" t="str">
        <f t="shared" si="0"/>
        <v/>
      </c>
      <c r="G68" s="56" t="str">
        <f t="shared" si="1"/>
        <v/>
      </c>
      <c r="H68" s="55" t="str">
        <f t="shared" si="2"/>
        <v/>
      </c>
      <c r="I68" s="59"/>
      <c r="J68" s="59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90"/>
      <c r="B69" s="52"/>
      <c r="C69" s="53"/>
      <c r="D69" s="54"/>
      <c r="E69" s="52"/>
      <c r="F69" s="55" t="str">
        <f t="shared" si="0"/>
        <v/>
      </c>
      <c r="G69" s="56" t="str">
        <f t="shared" si="1"/>
        <v/>
      </c>
      <c r="H69" s="55" t="str">
        <f t="shared" si="2"/>
        <v/>
      </c>
      <c r="I69" s="59"/>
      <c r="J69" s="59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90"/>
      <c r="B70" s="52"/>
      <c r="C70" s="53"/>
      <c r="D70" s="54"/>
      <c r="E70" s="52"/>
      <c r="F70" s="55" t="str">
        <f t="shared" si="0"/>
        <v/>
      </c>
      <c r="G70" s="56" t="str">
        <f t="shared" si="1"/>
        <v/>
      </c>
      <c r="H70" s="55" t="str">
        <f t="shared" si="2"/>
        <v/>
      </c>
      <c r="I70" s="59"/>
      <c r="J70" s="59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90"/>
      <c r="B71" s="52"/>
      <c r="C71" s="53"/>
      <c r="D71" s="54"/>
      <c r="E71" s="52"/>
      <c r="F71" s="55" t="str">
        <f t="shared" si="0"/>
        <v/>
      </c>
      <c r="G71" s="56" t="str">
        <f t="shared" si="1"/>
        <v/>
      </c>
      <c r="H71" s="55" t="str">
        <f t="shared" si="2"/>
        <v/>
      </c>
      <c r="I71" s="59"/>
      <c r="J71" s="59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90"/>
      <c r="B72" s="52"/>
      <c r="C72" s="53"/>
      <c r="D72" s="54"/>
      <c r="E72" s="52"/>
      <c r="F72" s="55" t="str">
        <f t="shared" si="0"/>
        <v/>
      </c>
      <c r="G72" s="56" t="str">
        <f t="shared" si="1"/>
        <v/>
      </c>
      <c r="H72" s="55" t="str">
        <f t="shared" si="2"/>
        <v/>
      </c>
      <c r="I72" s="59"/>
      <c r="J72" s="59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90"/>
      <c r="B73" s="52"/>
      <c r="C73" s="53"/>
      <c r="D73" s="54"/>
      <c r="E73" s="52"/>
      <c r="F73" s="55" t="str">
        <f t="shared" si="0"/>
        <v/>
      </c>
      <c r="G73" s="56" t="str">
        <f t="shared" si="1"/>
        <v/>
      </c>
      <c r="H73" s="55" t="str">
        <f t="shared" si="2"/>
        <v/>
      </c>
      <c r="I73" s="59"/>
      <c r="J73" s="59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90"/>
      <c r="B74" s="52"/>
      <c r="C74" s="53"/>
      <c r="D74" s="54"/>
      <c r="E74" s="52"/>
      <c r="F74" s="55" t="str">
        <f t="shared" si="0"/>
        <v/>
      </c>
      <c r="G74" s="56" t="str">
        <f t="shared" si="1"/>
        <v/>
      </c>
      <c r="H74" s="55" t="str">
        <f t="shared" si="2"/>
        <v/>
      </c>
      <c r="I74" s="59"/>
      <c r="J74" s="59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90"/>
      <c r="B75" s="52"/>
      <c r="C75" s="53"/>
      <c r="D75" s="54"/>
      <c r="E75" s="52"/>
      <c r="F75" s="55" t="str">
        <f t="shared" si="0"/>
        <v/>
      </c>
      <c r="G75" s="56" t="str">
        <f t="shared" si="1"/>
        <v/>
      </c>
      <c r="H75" s="55" t="str">
        <f t="shared" si="2"/>
        <v/>
      </c>
      <c r="I75" s="59"/>
      <c r="J75" s="59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90"/>
      <c r="B76" s="52"/>
      <c r="C76" s="53"/>
      <c r="D76" s="54"/>
      <c r="E76" s="52"/>
      <c r="F76" s="55" t="str">
        <f t="shared" si="0"/>
        <v/>
      </c>
      <c r="G76" s="56" t="str">
        <f t="shared" si="1"/>
        <v/>
      </c>
      <c r="H76" s="55" t="str">
        <f t="shared" si="2"/>
        <v/>
      </c>
      <c r="I76" s="59"/>
      <c r="J76" s="59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90"/>
      <c r="B77" s="52"/>
      <c r="C77" s="53"/>
      <c r="D77" s="54"/>
      <c r="E77" s="52"/>
      <c r="F77" s="55" t="str">
        <f t="shared" si="0"/>
        <v/>
      </c>
      <c r="G77" s="56" t="str">
        <f t="shared" si="1"/>
        <v/>
      </c>
      <c r="H77" s="55" t="str">
        <f t="shared" si="2"/>
        <v/>
      </c>
      <c r="I77" s="59"/>
      <c r="J77" s="59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90"/>
      <c r="B78" s="52"/>
      <c r="C78" s="53"/>
      <c r="D78" s="54"/>
      <c r="E78" s="52"/>
      <c r="F78" s="55" t="str">
        <f t="shared" si="0"/>
        <v/>
      </c>
      <c r="G78" s="56" t="str">
        <f t="shared" si="1"/>
        <v/>
      </c>
      <c r="H78" s="55" t="str">
        <f t="shared" si="2"/>
        <v/>
      </c>
      <c r="I78" s="59"/>
      <c r="J78" s="59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90"/>
      <c r="B79" s="52"/>
      <c r="C79" s="53"/>
      <c r="D79" s="54"/>
      <c r="E79" s="52"/>
      <c r="F79" s="55" t="str">
        <f t="shared" si="0"/>
        <v/>
      </c>
      <c r="G79" s="56" t="str">
        <f t="shared" si="1"/>
        <v/>
      </c>
      <c r="H79" s="55" t="str">
        <f t="shared" si="2"/>
        <v/>
      </c>
      <c r="I79" s="59"/>
      <c r="J79" s="59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90"/>
      <c r="B80" s="52"/>
      <c r="C80" s="53"/>
      <c r="D80" s="54"/>
      <c r="E80" s="52"/>
      <c r="F80" s="55" t="str">
        <f t="shared" si="0"/>
        <v/>
      </c>
      <c r="G80" s="56" t="str">
        <f t="shared" si="1"/>
        <v/>
      </c>
      <c r="H80" s="55" t="str">
        <f t="shared" si="2"/>
        <v/>
      </c>
      <c r="I80" s="59"/>
      <c r="J80" s="59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90"/>
      <c r="B81" s="52"/>
      <c r="C81" s="53"/>
      <c r="D81" s="54"/>
      <c r="E81" s="52"/>
      <c r="F81" s="55" t="str">
        <f t="shared" si="0"/>
        <v/>
      </c>
      <c r="G81" s="56" t="str">
        <f t="shared" si="1"/>
        <v/>
      </c>
      <c r="H81" s="55" t="str">
        <f t="shared" si="2"/>
        <v/>
      </c>
      <c r="I81" s="59"/>
      <c r="J81" s="59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90"/>
      <c r="B82" s="52"/>
      <c r="C82" s="53"/>
      <c r="D82" s="54"/>
      <c r="E82" s="52"/>
      <c r="F82" s="55" t="str">
        <f t="shared" si="0"/>
        <v/>
      </c>
      <c r="G82" s="56" t="str">
        <f t="shared" si="1"/>
        <v/>
      </c>
      <c r="H82" s="55" t="str">
        <f t="shared" si="2"/>
        <v/>
      </c>
      <c r="I82" s="59"/>
      <c r="J82" s="59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90"/>
      <c r="B83" s="52"/>
      <c r="C83" s="53"/>
      <c r="D83" s="54"/>
      <c r="E83" s="52"/>
      <c r="F83" s="55" t="str">
        <f t="shared" si="0"/>
        <v/>
      </c>
      <c r="G83" s="56" t="str">
        <f t="shared" si="1"/>
        <v/>
      </c>
      <c r="H83" s="55" t="str">
        <f t="shared" si="2"/>
        <v/>
      </c>
      <c r="I83" s="59"/>
      <c r="J83" s="59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90"/>
      <c r="B84" s="52"/>
      <c r="C84" s="53"/>
      <c r="D84" s="54"/>
      <c r="E84" s="52"/>
      <c r="F84" s="55" t="str">
        <f t="shared" si="0"/>
        <v/>
      </c>
      <c r="G84" s="56" t="str">
        <f t="shared" si="1"/>
        <v/>
      </c>
      <c r="H84" s="55" t="str">
        <f t="shared" si="2"/>
        <v/>
      </c>
      <c r="I84" s="59"/>
      <c r="J84" s="59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90"/>
      <c r="B85" s="52"/>
      <c r="C85" s="53"/>
      <c r="D85" s="54"/>
      <c r="E85" s="52"/>
      <c r="F85" s="55" t="str">
        <f t="shared" si="0"/>
        <v/>
      </c>
      <c r="G85" s="56" t="str">
        <f t="shared" si="1"/>
        <v/>
      </c>
      <c r="H85" s="55" t="str">
        <f t="shared" si="2"/>
        <v/>
      </c>
      <c r="I85" s="59"/>
      <c r="J85" s="59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90"/>
      <c r="B86" s="52"/>
      <c r="C86" s="53"/>
      <c r="D86" s="54"/>
      <c r="E86" s="52"/>
      <c r="F86" s="55" t="str">
        <f t="shared" si="0"/>
        <v/>
      </c>
      <c r="G86" s="56" t="str">
        <f t="shared" si="1"/>
        <v/>
      </c>
      <c r="H86" s="55" t="str">
        <f t="shared" si="2"/>
        <v/>
      </c>
      <c r="I86" s="59"/>
      <c r="J86" s="59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90"/>
      <c r="B87" s="52"/>
      <c r="C87" s="53"/>
      <c r="D87" s="54"/>
      <c r="E87" s="52"/>
      <c r="F87" s="55" t="str">
        <f t="shared" si="0"/>
        <v/>
      </c>
      <c r="G87" s="56" t="str">
        <f t="shared" si="1"/>
        <v/>
      </c>
      <c r="H87" s="55" t="str">
        <f t="shared" si="2"/>
        <v/>
      </c>
      <c r="I87" s="59"/>
      <c r="J87" s="59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90"/>
      <c r="B88" s="52"/>
      <c r="C88" s="53"/>
      <c r="D88" s="54"/>
      <c r="E88" s="52"/>
      <c r="F88" s="55" t="str">
        <f t="shared" si="0"/>
        <v/>
      </c>
      <c r="G88" s="56" t="str">
        <f t="shared" si="1"/>
        <v/>
      </c>
      <c r="H88" s="55" t="str">
        <f t="shared" si="2"/>
        <v/>
      </c>
      <c r="I88" s="59"/>
      <c r="J88" s="59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90"/>
      <c r="B89" s="52"/>
      <c r="C89" s="53"/>
      <c r="D89" s="54"/>
      <c r="E89" s="52"/>
      <c r="F89" s="55" t="str">
        <f t="shared" si="0"/>
        <v/>
      </c>
      <c r="G89" s="56" t="str">
        <f t="shared" si="1"/>
        <v/>
      </c>
      <c r="H89" s="55" t="str">
        <f t="shared" si="2"/>
        <v/>
      </c>
      <c r="I89" s="59"/>
      <c r="J89" s="59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90"/>
      <c r="B90" s="52"/>
      <c r="C90" s="53"/>
      <c r="D90" s="54"/>
      <c r="E90" s="52"/>
      <c r="F90" s="55" t="str">
        <f t="shared" si="0"/>
        <v/>
      </c>
      <c r="G90" s="56" t="str">
        <f t="shared" si="1"/>
        <v/>
      </c>
      <c r="H90" s="55" t="str">
        <f t="shared" si="2"/>
        <v/>
      </c>
      <c r="I90" s="59"/>
      <c r="J90" s="59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90"/>
      <c r="B91" s="52"/>
      <c r="C91" s="53"/>
      <c r="D91" s="54"/>
      <c r="E91" s="52"/>
      <c r="F91" s="55" t="str">
        <f t="shared" si="0"/>
        <v/>
      </c>
      <c r="G91" s="56" t="str">
        <f t="shared" si="1"/>
        <v/>
      </c>
      <c r="H91" s="55" t="str">
        <f t="shared" si="2"/>
        <v/>
      </c>
      <c r="I91" s="59"/>
      <c r="J91" s="59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90"/>
      <c r="B92" s="52"/>
      <c r="C92" s="53"/>
      <c r="D92" s="54"/>
      <c r="E92" s="52"/>
      <c r="F92" s="55" t="str">
        <f t="shared" si="0"/>
        <v/>
      </c>
      <c r="G92" s="56" t="str">
        <f t="shared" si="1"/>
        <v/>
      </c>
      <c r="H92" s="55" t="str">
        <f t="shared" si="2"/>
        <v/>
      </c>
      <c r="I92" s="59"/>
      <c r="J92" s="59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90"/>
      <c r="B93" s="52"/>
      <c r="C93" s="53"/>
      <c r="D93" s="54"/>
      <c r="E93" s="52"/>
      <c r="F93" s="55" t="str">
        <f t="shared" si="0"/>
        <v/>
      </c>
      <c r="G93" s="56" t="str">
        <f t="shared" si="1"/>
        <v/>
      </c>
      <c r="H93" s="55" t="str">
        <f t="shared" si="2"/>
        <v/>
      </c>
      <c r="I93" s="59"/>
      <c r="J93" s="59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90"/>
      <c r="B94" s="52"/>
      <c r="C94" s="53"/>
      <c r="D94" s="54"/>
      <c r="E94" s="52"/>
      <c r="F94" s="55" t="str">
        <f t="shared" si="0"/>
        <v/>
      </c>
      <c r="G94" s="56" t="str">
        <f t="shared" si="1"/>
        <v/>
      </c>
      <c r="H94" s="55" t="str">
        <f t="shared" si="2"/>
        <v/>
      </c>
      <c r="I94" s="59"/>
      <c r="J94" s="59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90"/>
      <c r="B95" s="52"/>
      <c r="C95" s="53"/>
      <c r="D95" s="54"/>
      <c r="E95" s="52"/>
      <c r="F95" s="55" t="str">
        <f t="shared" si="0"/>
        <v/>
      </c>
      <c r="G95" s="56" t="str">
        <f t="shared" si="1"/>
        <v/>
      </c>
      <c r="H95" s="55" t="str">
        <f t="shared" si="2"/>
        <v/>
      </c>
      <c r="I95" s="59"/>
      <c r="J95" s="59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90"/>
      <c r="B96" s="52"/>
      <c r="C96" s="53"/>
      <c r="D96" s="54"/>
      <c r="E96" s="52"/>
      <c r="F96" s="55" t="str">
        <f t="shared" si="0"/>
        <v/>
      </c>
      <c r="G96" s="56" t="str">
        <f t="shared" si="1"/>
        <v/>
      </c>
      <c r="H96" s="55" t="str">
        <f t="shared" si="2"/>
        <v/>
      </c>
      <c r="I96" s="59"/>
      <c r="J96" s="59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90"/>
      <c r="B97" s="52"/>
      <c r="C97" s="53"/>
      <c r="D97" s="54"/>
      <c r="E97" s="52"/>
      <c r="F97" s="55" t="str">
        <f t="shared" si="0"/>
        <v/>
      </c>
      <c r="G97" s="56" t="str">
        <f t="shared" si="1"/>
        <v/>
      </c>
      <c r="H97" s="55" t="str">
        <f t="shared" si="2"/>
        <v/>
      </c>
      <c r="I97" s="59"/>
      <c r="J97" s="59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90"/>
      <c r="B98" s="52"/>
      <c r="C98" s="53"/>
      <c r="D98" s="54"/>
      <c r="E98" s="52"/>
      <c r="F98" s="55" t="str">
        <f t="shared" si="0"/>
        <v/>
      </c>
      <c r="G98" s="56" t="str">
        <f t="shared" si="1"/>
        <v/>
      </c>
      <c r="H98" s="55" t="str">
        <f t="shared" si="2"/>
        <v/>
      </c>
      <c r="I98" s="59"/>
      <c r="J98" s="59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90"/>
      <c r="B99" s="52"/>
      <c r="C99" s="53"/>
      <c r="D99" s="54"/>
      <c r="E99" s="52"/>
      <c r="F99" s="55" t="str">
        <f t="shared" si="0"/>
        <v/>
      </c>
      <c r="G99" s="56" t="str">
        <f t="shared" si="1"/>
        <v/>
      </c>
      <c r="H99" s="55" t="str">
        <f t="shared" si="2"/>
        <v/>
      </c>
      <c r="I99" s="59"/>
      <c r="J99" s="59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90"/>
      <c r="B100" s="52"/>
      <c r="C100" s="53"/>
      <c r="D100" s="54"/>
      <c r="E100" s="52"/>
      <c r="F100" s="55" t="str">
        <f t="shared" si="0"/>
        <v/>
      </c>
      <c r="G100" s="56" t="str">
        <f t="shared" si="1"/>
        <v/>
      </c>
      <c r="H100" s="55" t="str">
        <f t="shared" si="2"/>
        <v/>
      </c>
      <c r="I100" s="59"/>
      <c r="J100" s="59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90"/>
      <c r="B101" s="52"/>
      <c r="C101" s="53"/>
      <c r="D101" s="54"/>
      <c r="E101" s="52"/>
      <c r="F101" s="55" t="str">
        <f t="shared" si="0"/>
        <v/>
      </c>
      <c r="G101" s="56" t="str">
        <f t="shared" si="1"/>
        <v/>
      </c>
      <c r="H101" s="55" t="str">
        <f t="shared" si="2"/>
        <v/>
      </c>
      <c r="I101" s="59"/>
      <c r="J101" s="59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90"/>
      <c r="B102" s="52"/>
      <c r="C102" s="53"/>
      <c r="D102" s="54"/>
      <c r="E102" s="52"/>
      <c r="F102" s="55" t="str">
        <f t="shared" si="0"/>
        <v/>
      </c>
      <c r="G102" s="56" t="str">
        <f t="shared" si="1"/>
        <v/>
      </c>
      <c r="H102" s="55" t="str">
        <f t="shared" si="2"/>
        <v/>
      </c>
      <c r="I102" s="59"/>
      <c r="J102" s="59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90"/>
      <c r="B103" s="52"/>
      <c r="C103" s="53"/>
      <c r="D103" s="54"/>
      <c r="E103" s="52"/>
      <c r="F103" s="55" t="str">
        <f t="shared" si="0"/>
        <v/>
      </c>
      <c r="G103" s="56" t="str">
        <f t="shared" si="1"/>
        <v/>
      </c>
      <c r="H103" s="55" t="str">
        <f t="shared" si="2"/>
        <v/>
      </c>
      <c r="I103" s="59"/>
      <c r="J103" s="59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90"/>
      <c r="B104" s="52"/>
      <c r="C104" s="53"/>
      <c r="D104" s="54"/>
      <c r="E104" s="52"/>
      <c r="F104" s="55" t="str">
        <f t="shared" si="0"/>
        <v/>
      </c>
      <c r="G104" s="56" t="str">
        <f t="shared" si="1"/>
        <v/>
      </c>
      <c r="H104" s="55" t="str">
        <f t="shared" si="2"/>
        <v/>
      </c>
      <c r="I104" s="59"/>
      <c r="J104" s="59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90"/>
      <c r="B105" s="52"/>
      <c r="C105" s="53"/>
      <c r="D105" s="54"/>
      <c r="E105" s="52"/>
      <c r="F105" s="55" t="str">
        <f t="shared" si="0"/>
        <v/>
      </c>
      <c r="G105" s="56" t="str">
        <f t="shared" si="1"/>
        <v/>
      </c>
      <c r="H105" s="55" t="str">
        <f t="shared" si="2"/>
        <v/>
      </c>
      <c r="I105" s="59"/>
      <c r="J105" s="59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90"/>
      <c r="B106" s="52"/>
      <c r="C106" s="53"/>
      <c r="D106" s="54"/>
      <c r="E106" s="52"/>
      <c r="F106" s="55" t="str">
        <f t="shared" si="0"/>
        <v/>
      </c>
      <c r="G106" s="56" t="str">
        <f t="shared" si="1"/>
        <v/>
      </c>
      <c r="H106" s="55" t="str">
        <f t="shared" si="2"/>
        <v/>
      </c>
      <c r="I106" s="59"/>
      <c r="J106" s="59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90"/>
      <c r="B107" s="52"/>
      <c r="C107" s="53"/>
      <c r="D107" s="54"/>
      <c r="E107" s="52"/>
      <c r="F107" s="55" t="str">
        <f t="shared" si="0"/>
        <v/>
      </c>
      <c r="G107" s="56" t="str">
        <f t="shared" si="1"/>
        <v/>
      </c>
      <c r="H107" s="55" t="str">
        <f t="shared" si="2"/>
        <v/>
      </c>
      <c r="I107" s="59"/>
      <c r="J107" s="59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90"/>
      <c r="B108" s="52"/>
      <c r="C108" s="53"/>
      <c r="D108" s="54"/>
      <c r="E108" s="52"/>
      <c r="F108" s="55" t="str">
        <f t="shared" si="0"/>
        <v/>
      </c>
      <c r="G108" s="56" t="str">
        <f t="shared" si="1"/>
        <v/>
      </c>
      <c r="H108" s="55" t="str">
        <f t="shared" si="2"/>
        <v/>
      </c>
      <c r="I108" s="59"/>
      <c r="J108" s="59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90"/>
      <c r="B109" s="52"/>
      <c r="C109" s="53"/>
      <c r="D109" s="54"/>
      <c r="E109" s="52"/>
      <c r="F109" s="55" t="str">
        <f t="shared" si="0"/>
        <v/>
      </c>
      <c r="G109" s="56" t="str">
        <f t="shared" si="1"/>
        <v/>
      </c>
      <c r="H109" s="55" t="str">
        <f t="shared" si="2"/>
        <v/>
      </c>
      <c r="I109" s="59"/>
      <c r="J109" s="59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90"/>
      <c r="B110" s="52"/>
      <c r="C110" s="53"/>
      <c r="D110" s="54"/>
      <c r="E110" s="52"/>
      <c r="F110" s="55" t="str">
        <f t="shared" si="0"/>
        <v/>
      </c>
      <c r="G110" s="56" t="str">
        <f t="shared" si="1"/>
        <v/>
      </c>
      <c r="H110" s="55" t="str">
        <f t="shared" si="2"/>
        <v/>
      </c>
      <c r="I110" s="59"/>
      <c r="J110" s="59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90"/>
      <c r="B111" s="52"/>
      <c r="C111" s="53"/>
      <c r="D111" s="54"/>
      <c r="E111" s="52"/>
      <c r="F111" s="55" t="str">
        <f t="shared" si="0"/>
        <v/>
      </c>
      <c r="G111" s="56" t="str">
        <f t="shared" si="1"/>
        <v/>
      </c>
      <c r="H111" s="55" t="str">
        <f t="shared" si="2"/>
        <v/>
      </c>
      <c r="I111" s="59"/>
      <c r="J111" s="59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90"/>
      <c r="B112" s="52"/>
      <c r="C112" s="53"/>
      <c r="D112" s="54"/>
      <c r="E112" s="52"/>
      <c r="F112" s="55" t="str">
        <f t="shared" si="0"/>
        <v/>
      </c>
      <c r="G112" s="56" t="str">
        <f t="shared" si="1"/>
        <v/>
      </c>
      <c r="H112" s="55" t="str">
        <f t="shared" si="2"/>
        <v/>
      </c>
      <c r="I112" s="59"/>
      <c r="J112" s="59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90"/>
      <c r="B113" s="52"/>
      <c r="C113" s="53"/>
      <c r="D113" s="54"/>
      <c r="E113" s="52"/>
      <c r="F113" s="55" t="str">
        <f t="shared" si="0"/>
        <v/>
      </c>
      <c r="G113" s="56" t="str">
        <f t="shared" si="1"/>
        <v/>
      </c>
      <c r="H113" s="55" t="str">
        <f t="shared" si="2"/>
        <v/>
      </c>
      <c r="I113" s="59"/>
      <c r="J113" s="59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90"/>
      <c r="B114" s="52"/>
      <c r="C114" s="53"/>
      <c r="D114" s="54"/>
      <c r="E114" s="52"/>
      <c r="F114" s="55" t="str">
        <f t="shared" si="0"/>
        <v/>
      </c>
      <c r="G114" s="56" t="str">
        <f t="shared" si="1"/>
        <v/>
      </c>
      <c r="H114" s="55" t="str">
        <f t="shared" si="2"/>
        <v/>
      </c>
      <c r="I114" s="59"/>
      <c r="J114" s="59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90"/>
      <c r="B115" s="52"/>
      <c r="C115" s="53"/>
      <c r="D115" s="54"/>
      <c r="E115" s="52"/>
      <c r="F115" s="55" t="str">
        <f t="shared" si="0"/>
        <v/>
      </c>
      <c r="G115" s="56" t="str">
        <f t="shared" si="1"/>
        <v/>
      </c>
      <c r="H115" s="55" t="str">
        <f t="shared" si="2"/>
        <v/>
      </c>
      <c r="I115" s="59"/>
      <c r="J115" s="59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90"/>
      <c r="B116" s="52"/>
      <c r="C116" s="53"/>
      <c r="D116" s="54"/>
      <c r="E116" s="52"/>
      <c r="F116" s="55" t="str">
        <f t="shared" si="0"/>
        <v/>
      </c>
      <c r="G116" s="56" t="str">
        <f t="shared" si="1"/>
        <v/>
      </c>
      <c r="H116" s="55" t="str">
        <f t="shared" si="2"/>
        <v/>
      </c>
      <c r="I116" s="59"/>
      <c r="J116" s="59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90"/>
      <c r="B117" s="52"/>
      <c r="C117" s="53"/>
      <c r="D117" s="54"/>
      <c r="E117" s="52"/>
      <c r="F117" s="55" t="str">
        <f t="shared" si="0"/>
        <v/>
      </c>
      <c r="G117" s="56" t="str">
        <f t="shared" si="1"/>
        <v/>
      </c>
      <c r="H117" s="55" t="str">
        <f t="shared" si="2"/>
        <v/>
      </c>
      <c r="I117" s="59"/>
      <c r="J117" s="59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90"/>
      <c r="B118" s="52"/>
      <c r="C118" s="53"/>
      <c r="D118" s="54"/>
      <c r="E118" s="52"/>
      <c r="F118" s="55" t="str">
        <f t="shared" si="0"/>
        <v/>
      </c>
      <c r="G118" s="56" t="str">
        <f t="shared" si="1"/>
        <v/>
      </c>
      <c r="H118" s="55" t="str">
        <f t="shared" si="2"/>
        <v/>
      </c>
      <c r="I118" s="59"/>
      <c r="J118" s="59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90"/>
      <c r="B119" s="52"/>
      <c r="C119" s="53"/>
      <c r="D119" s="54"/>
      <c r="E119" s="52"/>
      <c r="F119" s="55" t="str">
        <f t="shared" si="0"/>
        <v/>
      </c>
      <c r="G119" s="56" t="str">
        <f t="shared" si="1"/>
        <v/>
      </c>
      <c r="H119" s="55" t="str">
        <f t="shared" si="2"/>
        <v/>
      </c>
      <c r="I119" s="59"/>
      <c r="J119" s="59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90"/>
      <c r="B120" s="52"/>
      <c r="C120" s="53"/>
      <c r="D120" s="54"/>
      <c r="E120" s="52"/>
      <c r="F120" s="55" t="str">
        <f t="shared" si="0"/>
        <v/>
      </c>
      <c r="G120" s="56" t="str">
        <f t="shared" si="1"/>
        <v/>
      </c>
      <c r="H120" s="55" t="str">
        <f t="shared" si="2"/>
        <v/>
      </c>
      <c r="I120" s="59"/>
      <c r="J120" s="59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90"/>
      <c r="B121" s="52"/>
      <c r="C121" s="53"/>
      <c r="D121" s="54"/>
      <c r="E121" s="52"/>
      <c r="F121" s="55" t="str">
        <f t="shared" si="0"/>
        <v/>
      </c>
      <c r="G121" s="56" t="str">
        <f t="shared" si="1"/>
        <v/>
      </c>
      <c r="H121" s="55" t="str">
        <f t="shared" si="2"/>
        <v/>
      </c>
      <c r="I121" s="59"/>
      <c r="J121" s="59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90"/>
      <c r="B122" s="52"/>
      <c r="C122" s="53"/>
      <c r="D122" s="54"/>
      <c r="E122" s="52"/>
      <c r="F122" s="55" t="str">
        <f t="shared" si="0"/>
        <v/>
      </c>
      <c r="G122" s="56" t="str">
        <f t="shared" si="1"/>
        <v/>
      </c>
      <c r="H122" s="55" t="str">
        <f t="shared" si="2"/>
        <v/>
      </c>
      <c r="I122" s="59"/>
      <c r="J122" s="59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90"/>
      <c r="B123" s="52"/>
      <c r="C123" s="53"/>
      <c r="D123" s="54"/>
      <c r="E123" s="52"/>
      <c r="F123" s="55" t="str">
        <f t="shared" si="0"/>
        <v/>
      </c>
      <c r="G123" s="56" t="str">
        <f t="shared" si="1"/>
        <v/>
      </c>
      <c r="H123" s="55" t="str">
        <f t="shared" si="2"/>
        <v/>
      </c>
      <c r="I123" s="59"/>
      <c r="J123" s="59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90"/>
      <c r="B124" s="52"/>
      <c r="C124" s="53"/>
      <c r="D124" s="54"/>
      <c r="E124" s="52"/>
      <c r="F124" s="55" t="str">
        <f t="shared" si="0"/>
        <v/>
      </c>
      <c r="G124" s="56" t="str">
        <f t="shared" si="1"/>
        <v/>
      </c>
      <c r="H124" s="55" t="str">
        <f t="shared" si="2"/>
        <v/>
      </c>
      <c r="I124" s="59"/>
      <c r="J124" s="59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90"/>
      <c r="B125" s="52"/>
      <c r="C125" s="53"/>
      <c r="D125" s="54"/>
      <c r="E125" s="52"/>
      <c r="F125" s="55" t="str">
        <f t="shared" si="0"/>
        <v/>
      </c>
      <c r="G125" s="56" t="str">
        <f t="shared" si="1"/>
        <v/>
      </c>
      <c r="H125" s="55" t="str">
        <f t="shared" si="2"/>
        <v/>
      </c>
      <c r="I125" s="59"/>
      <c r="J125" s="59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90"/>
      <c r="B126" s="52"/>
      <c r="C126" s="53"/>
      <c r="D126" s="54"/>
      <c r="E126" s="52"/>
      <c r="F126" s="55" t="str">
        <f t="shared" si="0"/>
        <v/>
      </c>
      <c r="G126" s="56" t="str">
        <f t="shared" si="1"/>
        <v/>
      </c>
      <c r="H126" s="55" t="str">
        <f t="shared" si="2"/>
        <v/>
      </c>
      <c r="I126" s="59"/>
      <c r="J126" s="59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90"/>
      <c r="B127" s="52"/>
      <c r="C127" s="53"/>
      <c r="D127" s="54"/>
      <c r="E127" s="52"/>
      <c r="F127" s="55" t="str">
        <f t="shared" si="0"/>
        <v/>
      </c>
      <c r="G127" s="56" t="str">
        <f t="shared" si="1"/>
        <v/>
      </c>
      <c r="H127" s="55" t="str">
        <f t="shared" si="2"/>
        <v/>
      </c>
      <c r="I127" s="59"/>
      <c r="J127" s="59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90"/>
      <c r="B128" s="52"/>
      <c r="C128" s="53"/>
      <c r="D128" s="54"/>
      <c r="E128" s="52"/>
      <c r="F128" s="55" t="str">
        <f t="shared" si="0"/>
        <v/>
      </c>
      <c r="G128" s="56" t="str">
        <f t="shared" si="1"/>
        <v/>
      </c>
      <c r="H128" s="55" t="str">
        <f t="shared" si="2"/>
        <v/>
      </c>
      <c r="I128" s="59"/>
      <c r="J128" s="59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90"/>
      <c r="B129" s="52"/>
      <c r="C129" s="53"/>
      <c r="D129" s="54"/>
      <c r="E129" s="52"/>
      <c r="F129" s="55" t="str">
        <f t="shared" si="0"/>
        <v/>
      </c>
      <c r="G129" s="56" t="str">
        <f t="shared" si="1"/>
        <v/>
      </c>
      <c r="H129" s="55" t="str">
        <f t="shared" si="2"/>
        <v/>
      </c>
      <c r="I129" s="59"/>
      <c r="J129" s="59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90"/>
      <c r="B130" s="52"/>
      <c r="C130" s="53"/>
      <c r="D130" s="54"/>
      <c r="E130" s="52"/>
      <c r="F130" s="55" t="str">
        <f t="shared" si="0"/>
        <v/>
      </c>
      <c r="G130" s="56" t="str">
        <f t="shared" si="1"/>
        <v/>
      </c>
      <c r="H130" s="55" t="str">
        <f t="shared" si="2"/>
        <v/>
      </c>
      <c r="I130" s="59"/>
      <c r="J130" s="59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90"/>
      <c r="B131" s="52"/>
      <c r="C131" s="53"/>
      <c r="D131" s="54"/>
      <c r="E131" s="52"/>
      <c r="F131" s="55" t="str">
        <f t="shared" si="0"/>
        <v/>
      </c>
      <c r="G131" s="56" t="str">
        <f t="shared" si="1"/>
        <v/>
      </c>
      <c r="H131" s="55" t="str">
        <f t="shared" si="2"/>
        <v/>
      </c>
      <c r="I131" s="59"/>
      <c r="J131" s="59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90"/>
      <c r="B132" s="52"/>
      <c r="C132" s="53"/>
      <c r="D132" s="54"/>
      <c r="E132" s="52"/>
      <c r="F132" s="55" t="str">
        <f t="shared" si="0"/>
        <v/>
      </c>
      <c r="G132" s="56" t="str">
        <f t="shared" si="1"/>
        <v/>
      </c>
      <c r="H132" s="55" t="str">
        <f t="shared" si="2"/>
        <v/>
      </c>
      <c r="I132" s="59"/>
      <c r="J132" s="59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90"/>
      <c r="B133" s="52"/>
      <c r="C133" s="53"/>
      <c r="D133" s="54"/>
      <c r="E133" s="52"/>
      <c r="F133" s="55" t="str">
        <f t="shared" si="0"/>
        <v/>
      </c>
      <c r="G133" s="56" t="str">
        <f t="shared" si="1"/>
        <v/>
      </c>
      <c r="H133" s="55" t="str">
        <f t="shared" si="2"/>
        <v/>
      </c>
      <c r="I133" s="59"/>
      <c r="J133" s="59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90"/>
      <c r="B134" s="52"/>
      <c r="C134" s="53"/>
      <c r="D134" s="54"/>
      <c r="E134" s="52"/>
      <c r="F134" s="55" t="str">
        <f t="shared" si="0"/>
        <v/>
      </c>
      <c r="G134" s="56" t="str">
        <f t="shared" si="1"/>
        <v/>
      </c>
      <c r="H134" s="55" t="str">
        <f t="shared" si="2"/>
        <v/>
      </c>
      <c r="I134" s="59"/>
      <c r="J134" s="59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90"/>
      <c r="B135" s="52"/>
      <c r="C135" s="53"/>
      <c r="D135" s="54"/>
      <c r="E135" s="52"/>
      <c r="F135" s="55" t="str">
        <f t="shared" si="0"/>
        <v/>
      </c>
      <c r="G135" s="56" t="str">
        <f t="shared" si="1"/>
        <v/>
      </c>
      <c r="H135" s="55" t="str">
        <f t="shared" si="2"/>
        <v/>
      </c>
      <c r="I135" s="59"/>
      <c r="J135" s="59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90"/>
      <c r="B136" s="52"/>
      <c r="C136" s="53"/>
      <c r="D136" s="54"/>
      <c r="E136" s="52"/>
      <c r="F136" s="55" t="str">
        <f t="shared" si="0"/>
        <v/>
      </c>
      <c r="G136" s="56" t="str">
        <f t="shared" si="1"/>
        <v/>
      </c>
      <c r="H136" s="55" t="str">
        <f t="shared" si="2"/>
        <v/>
      </c>
      <c r="I136" s="59"/>
      <c r="J136" s="59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90"/>
      <c r="B137" s="52"/>
      <c r="C137" s="53"/>
      <c r="D137" s="54"/>
      <c r="E137" s="52"/>
      <c r="F137" s="55" t="str">
        <f t="shared" si="0"/>
        <v/>
      </c>
      <c r="G137" s="56" t="str">
        <f t="shared" si="1"/>
        <v/>
      </c>
      <c r="H137" s="55" t="str">
        <f t="shared" si="2"/>
        <v/>
      </c>
      <c r="I137" s="59"/>
      <c r="J137" s="59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90"/>
      <c r="B138" s="52"/>
      <c r="C138" s="53"/>
      <c r="D138" s="54"/>
      <c r="E138" s="52"/>
      <c r="F138" s="55" t="str">
        <f t="shared" si="0"/>
        <v/>
      </c>
      <c r="G138" s="56" t="str">
        <f t="shared" si="1"/>
        <v/>
      </c>
      <c r="H138" s="55" t="str">
        <f t="shared" si="2"/>
        <v/>
      </c>
      <c r="I138" s="59"/>
      <c r="J138" s="59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90"/>
      <c r="B139" s="52"/>
      <c r="C139" s="53"/>
      <c r="D139" s="54"/>
      <c r="E139" s="52"/>
      <c r="F139" s="55" t="str">
        <f t="shared" si="0"/>
        <v/>
      </c>
      <c r="G139" s="56" t="str">
        <f t="shared" si="1"/>
        <v/>
      </c>
      <c r="H139" s="55" t="str">
        <f t="shared" si="2"/>
        <v/>
      </c>
      <c r="I139" s="59"/>
      <c r="J139" s="59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90"/>
      <c r="B140" s="52"/>
      <c r="C140" s="53"/>
      <c r="D140" s="54"/>
      <c r="E140" s="52"/>
      <c r="F140" s="55" t="str">
        <f t="shared" si="0"/>
        <v/>
      </c>
      <c r="G140" s="56" t="str">
        <f t="shared" si="1"/>
        <v/>
      </c>
      <c r="H140" s="55" t="str">
        <f t="shared" si="2"/>
        <v/>
      </c>
      <c r="I140" s="59"/>
      <c r="J140" s="59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90"/>
      <c r="B141" s="52"/>
      <c r="C141" s="53"/>
      <c r="D141" s="54"/>
      <c r="E141" s="52"/>
      <c r="F141" s="55" t="str">
        <f t="shared" si="0"/>
        <v/>
      </c>
      <c r="G141" s="56" t="str">
        <f t="shared" si="1"/>
        <v/>
      </c>
      <c r="H141" s="55" t="str">
        <f t="shared" si="2"/>
        <v/>
      </c>
      <c r="I141" s="59"/>
      <c r="J141" s="59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90"/>
      <c r="B142" s="52"/>
      <c r="C142" s="53"/>
      <c r="D142" s="54"/>
      <c r="E142" s="52"/>
      <c r="F142" s="55" t="str">
        <f t="shared" si="0"/>
        <v/>
      </c>
      <c r="G142" s="56" t="str">
        <f t="shared" si="1"/>
        <v/>
      </c>
      <c r="H142" s="55" t="str">
        <f t="shared" si="2"/>
        <v/>
      </c>
      <c r="I142" s="59"/>
      <c r="J142" s="59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90"/>
      <c r="B143" s="52"/>
      <c r="C143" s="53"/>
      <c r="D143" s="54"/>
      <c r="E143" s="52"/>
      <c r="F143" s="55" t="str">
        <f t="shared" si="0"/>
        <v/>
      </c>
      <c r="G143" s="56" t="str">
        <f t="shared" si="1"/>
        <v/>
      </c>
      <c r="H143" s="55" t="str">
        <f t="shared" si="2"/>
        <v/>
      </c>
      <c r="I143" s="59"/>
      <c r="J143" s="59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90"/>
      <c r="B144" s="52"/>
      <c r="C144" s="53"/>
      <c r="D144" s="54"/>
      <c r="E144" s="52"/>
      <c r="F144" s="55" t="str">
        <f t="shared" si="0"/>
        <v/>
      </c>
      <c r="G144" s="56" t="str">
        <f t="shared" si="1"/>
        <v/>
      </c>
      <c r="H144" s="55" t="str">
        <f t="shared" si="2"/>
        <v/>
      </c>
      <c r="I144" s="59"/>
      <c r="J144" s="59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90"/>
      <c r="B145" s="52"/>
      <c r="C145" s="53"/>
      <c r="D145" s="54"/>
      <c r="E145" s="52"/>
      <c r="F145" s="55" t="str">
        <f t="shared" si="0"/>
        <v/>
      </c>
      <c r="G145" s="56" t="str">
        <f t="shared" si="1"/>
        <v/>
      </c>
      <c r="H145" s="55" t="str">
        <f t="shared" si="2"/>
        <v/>
      </c>
      <c r="I145" s="59"/>
      <c r="J145" s="59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90"/>
      <c r="B146" s="52"/>
      <c r="C146" s="53"/>
      <c r="D146" s="54"/>
      <c r="E146" s="52"/>
      <c r="F146" s="55" t="str">
        <f t="shared" si="0"/>
        <v/>
      </c>
      <c r="G146" s="56" t="str">
        <f t="shared" si="1"/>
        <v/>
      </c>
      <c r="H146" s="55" t="str">
        <f t="shared" si="2"/>
        <v/>
      </c>
      <c r="I146" s="59"/>
      <c r="J146" s="59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90"/>
      <c r="B147" s="52"/>
      <c r="C147" s="53"/>
      <c r="D147" s="54"/>
      <c r="E147" s="52"/>
      <c r="F147" s="55" t="str">
        <f t="shared" si="0"/>
        <v/>
      </c>
      <c r="G147" s="56" t="str">
        <f t="shared" si="1"/>
        <v/>
      </c>
      <c r="H147" s="55" t="str">
        <f t="shared" si="2"/>
        <v/>
      </c>
      <c r="I147" s="59"/>
      <c r="J147" s="59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90"/>
      <c r="B148" s="52"/>
      <c r="C148" s="53"/>
      <c r="D148" s="54"/>
      <c r="E148" s="52"/>
      <c r="F148" s="55" t="str">
        <f t="shared" si="0"/>
        <v/>
      </c>
      <c r="G148" s="56" t="str">
        <f t="shared" si="1"/>
        <v/>
      </c>
      <c r="H148" s="55" t="str">
        <f t="shared" si="2"/>
        <v/>
      </c>
      <c r="I148" s="59"/>
      <c r="J148" s="59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90"/>
      <c r="B149" s="52"/>
      <c r="C149" s="53"/>
      <c r="D149" s="54"/>
      <c r="E149" s="52"/>
      <c r="F149" s="55" t="str">
        <f t="shared" si="0"/>
        <v/>
      </c>
      <c r="G149" s="56" t="str">
        <f t="shared" si="1"/>
        <v/>
      </c>
      <c r="H149" s="55" t="str">
        <f t="shared" si="2"/>
        <v/>
      </c>
      <c r="I149" s="59"/>
      <c r="J149" s="59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90"/>
      <c r="B150" s="52"/>
      <c r="C150" s="53"/>
      <c r="D150" s="54"/>
      <c r="E150" s="52"/>
      <c r="F150" s="55" t="str">
        <f t="shared" si="0"/>
        <v/>
      </c>
      <c r="G150" s="56" t="str">
        <f t="shared" si="1"/>
        <v/>
      </c>
      <c r="H150" s="55" t="str">
        <f t="shared" si="2"/>
        <v/>
      </c>
      <c r="I150" s="59"/>
      <c r="J150" s="59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90"/>
      <c r="B151" s="52"/>
      <c r="C151" s="53"/>
      <c r="D151" s="54"/>
      <c r="E151" s="52"/>
      <c r="F151" s="55" t="str">
        <f t="shared" si="0"/>
        <v/>
      </c>
      <c r="G151" s="56" t="str">
        <f t="shared" si="1"/>
        <v/>
      </c>
      <c r="H151" s="55" t="str">
        <f t="shared" si="2"/>
        <v/>
      </c>
      <c r="I151" s="59"/>
      <c r="J151" s="59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90"/>
      <c r="B152" s="52"/>
      <c r="C152" s="53"/>
      <c r="D152" s="54"/>
      <c r="E152" s="52"/>
      <c r="F152" s="55" t="str">
        <f t="shared" si="0"/>
        <v/>
      </c>
      <c r="G152" s="56" t="str">
        <f t="shared" si="1"/>
        <v/>
      </c>
      <c r="H152" s="55" t="str">
        <f t="shared" si="2"/>
        <v/>
      </c>
      <c r="I152" s="59"/>
      <c r="J152" s="59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90"/>
      <c r="B153" s="52"/>
      <c r="C153" s="53"/>
      <c r="D153" s="54"/>
      <c r="E153" s="52"/>
      <c r="F153" s="55" t="str">
        <f t="shared" si="0"/>
        <v/>
      </c>
      <c r="G153" s="56" t="str">
        <f t="shared" si="1"/>
        <v/>
      </c>
      <c r="H153" s="55" t="str">
        <f t="shared" si="2"/>
        <v/>
      </c>
      <c r="I153" s="59"/>
      <c r="J153" s="59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90"/>
      <c r="B154" s="52"/>
      <c r="C154" s="53"/>
      <c r="D154" s="54"/>
      <c r="E154" s="52"/>
      <c r="F154" s="55" t="str">
        <f t="shared" si="0"/>
        <v/>
      </c>
      <c r="G154" s="56" t="str">
        <f t="shared" si="1"/>
        <v/>
      </c>
      <c r="H154" s="55" t="str">
        <f t="shared" si="2"/>
        <v/>
      </c>
      <c r="I154" s="59"/>
      <c r="J154" s="59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90"/>
      <c r="B155" s="52"/>
      <c r="C155" s="53"/>
      <c r="D155" s="54"/>
      <c r="E155" s="52"/>
      <c r="F155" s="55" t="str">
        <f t="shared" si="0"/>
        <v/>
      </c>
      <c r="G155" s="56" t="str">
        <f t="shared" si="1"/>
        <v/>
      </c>
      <c r="H155" s="55" t="str">
        <f t="shared" si="2"/>
        <v/>
      </c>
      <c r="I155" s="59"/>
      <c r="J155" s="59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90"/>
      <c r="B156" s="52"/>
      <c r="C156" s="53"/>
      <c r="D156" s="54"/>
      <c r="E156" s="52"/>
      <c r="F156" s="55" t="str">
        <f t="shared" si="0"/>
        <v/>
      </c>
      <c r="G156" s="56" t="str">
        <f t="shared" si="1"/>
        <v/>
      </c>
      <c r="H156" s="55" t="str">
        <f t="shared" si="2"/>
        <v/>
      </c>
      <c r="I156" s="59"/>
      <c r="J156" s="59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90"/>
      <c r="B157" s="52"/>
      <c r="C157" s="53"/>
      <c r="D157" s="54"/>
      <c r="E157" s="52"/>
      <c r="F157" s="55" t="str">
        <f t="shared" si="0"/>
        <v/>
      </c>
      <c r="G157" s="56" t="str">
        <f t="shared" si="1"/>
        <v/>
      </c>
      <c r="H157" s="55" t="str">
        <f t="shared" si="2"/>
        <v/>
      </c>
      <c r="I157" s="59"/>
      <c r="J157" s="59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90"/>
      <c r="B158" s="52"/>
      <c r="C158" s="53"/>
      <c r="D158" s="54"/>
      <c r="E158" s="52"/>
      <c r="F158" s="55" t="str">
        <f t="shared" si="0"/>
        <v/>
      </c>
      <c r="G158" s="56" t="str">
        <f t="shared" si="1"/>
        <v/>
      </c>
      <c r="H158" s="55" t="str">
        <f t="shared" si="2"/>
        <v/>
      </c>
      <c r="I158" s="59"/>
      <c r="J158" s="59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90"/>
      <c r="B159" s="52"/>
      <c r="C159" s="53"/>
      <c r="D159" s="54"/>
      <c r="E159" s="52"/>
      <c r="F159" s="55" t="str">
        <f t="shared" si="0"/>
        <v/>
      </c>
      <c r="G159" s="56" t="str">
        <f t="shared" si="1"/>
        <v/>
      </c>
      <c r="H159" s="55" t="str">
        <f t="shared" si="2"/>
        <v/>
      </c>
      <c r="I159" s="59"/>
      <c r="J159" s="59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90"/>
      <c r="B160" s="52"/>
      <c r="C160" s="53"/>
      <c r="D160" s="54"/>
      <c r="E160" s="52"/>
      <c r="F160" s="55" t="str">
        <f t="shared" si="0"/>
        <v/>
      </c>
      <c r="G160" s="56" t="str">
        <f t="shared" si="1"/>
        <v/>
      </c>
      <c r="H160" s="55" t="str">
        <f t="shared" si="2"/>
        <v/>
      </c>
      <c r="I160" s="59"/>
      <c r="J160" s="59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90"/>
      <c r="B161" s="52"/>
      <c r="C161" s="53"/>
      <c r="D161" s="54"/>
      <c r="E161" s="52"/>
      <c r="F161" s="55" t="str">
        <f t="shared" si="0"/>
        <v/>
      </c>
      <c r="G161" s="56" t="str">
        <f t="shared" si="1"/>
        <v/>
      </c>
      <c r="H161" s="55" t="str">
        <f t="shared" si="2"/>
        <v/>
      </c>
      <c r="I161" s="59"/>
      <c r="J161" s="59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90"/>
      <c r="B162" s="52"/>
      <c r="C162" s="53"/>
      <c r="D162" s="54"/>
      <c r="E162" s="52"/>
      <c r="F162" s="55" t="str">
        <f t="shared" si="0"/>
        <v/>
      </c>
      <c r="G162" s="56" t="str">
        <f t="shared" si="1"/>
        <v/>
      </c>
      <c r="H162" s="55" t="str">
        <f t="shared" si="2"/>
        <v/>
      </c>
      <c r="I162" s="59"/>
      <c r="J162" s="59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90"/>
      <c r="B163" s="52"/>
      <c r="C163" s="53"/>
      <c r="D163" s="54"/>
      <c r="E163" s="52"/>
      <c r="F163" s="55" t="str">
        <f t="shared" si="0"/>
        <v/>
      </c>
      <c r="G163" s="56" t="str">
        <f t="shared" si="1"/>
        <v/>
      </c>
      <c r="H163" s="55" t="str">
        <f t="shared" si="2"/>
        <v/>
      </c>
      <c r="I163" s="59"/>
      <c r="J163" s="59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90"/>
      <c r="B164" s="52"/>
      <c r="C164" s="53"/>
      <c r="D164" s="54"/>
      <c r="E164" s="52"/>
      <c r="F164" s="55" t="str">
        <f t="shared" si="0"/>
        <v/>
      </c>
      <c r="G164" s="56" t="str">
        <f t="shared" si="1"/>
        <v/>
      </c>
      <c r="H164" s="55" t="str">
        <f t="shared" si="2"/>
        <v/>
      </c>
      <c r="I164" s="59"/>
      <c r="J164" s="59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90"/>
      <c r="B165" s="52"/>
      <c r="C165" s="53"/>
      <c r="D165" s="54"/>
      <c r="E165" s="52"/>
      <c r="F165" s="55" t="str">
        <f t="shared" si="0"/>
        <v/>
      </c>
      <c r="G165" s="56" t="str">
        <f t="shared" si="1"/>
        <v/>
      </c>
      <c r="H165" s="55" t="str">
        <f t="shared" si="2"/>
        <v/>
      </c>
      <c r="I165" s="59"/>
      <c r="J165" s="59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90"/>
      <c r="B166" s="52"/>
      <c r="C166" s="53"/>
      <c r="D166" s="54"/>
      <c r="E166" s="52"/>
      <c r="F166" s="55" t="str">
        <f t="shared" si="0"/>
        <v/>
      </c>
      <c r="G166" s="56" t="str">
        <f t="shared" si="1"/>
        <v/>
      </c>
      <c r="H166" s="55" t="str">
        <f t="shared" si="2"/>
        <v/>
      </c>
      <c r="I166" s="59"/>
      <c r="J166" s="59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90"/>
      <c r="B167" s="52"/>
      <c r="C167" s="53"/>
      <c r="D167" s="54"/>
      <c r="E167" s="52"/>
      <c r="F167" s="55" t="str">
        <f t="shared" si="0"/>
        <v/>
      </c>
      <c r="G167" s="56" t="str">
        <f t="shared" si="1"/>
        <v/>
      </c>
      <c r="H167" s="55" t="str">
        <f t="shared" si="2"/>
        <v/>
      </c>
      <c r="I167" s="59"/>
      <c r="J167" s="59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90"/>
      <c r="B168" s="52"/>
      <c r="C168" s="53"/>
      <c r="D168" s="54"/>
      <c r="E168" s="52"/>
      <c r="F168" s="55" t="str">
        <f t="shared" si="0"/>
        <v/>
      </c>
      <c r="G168" s="56" t="str">
        <f t="shared" si="1"/>
        <v/>
      </c>
      <c r="H168" s="55" t="str">
        <f t="shared" si="2"/>
        <v/>
      </c>
      <c r="I168" s="59"/>
      <c r="J168" s="59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90"/>
      <c r="B169" s="52"/>
      <c r="C169" s="53"/>
      <c r="D169" s="54"/>
      <c r="E169" s="52"/>
      <c r="F169" s="55" t="str">
        <f t="shared" si="0"/>
        <v/>
      </c>
      <c r="G169" s="56" t="str">
        <f t="shared" si="1"/>
        <v/>
      </c>
      <c r="H169" s="55" t="str">
        <f t="shared" si="2"/>
        <v/>
      </c>
      <c r="I169" s="59"/>
      <c r="J169" s="59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90"/>
      <c r="B170" s="52"/>
      <c r="C170" s="53"/>
      <c r="D170" s="54"/>
      <c r="E170" s="52"/>
      <c r="F170" s="55" t="str">
        <f t="shared" si="0"/>
        <v/>
      </c>
      <c r="G170" s="56" t="str">
        <f t="shared" si="1"/>
        <v/>
      </c>
      <c r="H170" s="55" t="str">
        <f t="shared" si="2"/>
        <v/>
      </c>
      <c r="I170" s="59"/>
      <c r="J170" s="59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90"/>
      <c r="B171" s="52"/>
      <c r="C171" s="53"/>
      <c r="D171" s="54"/>
      <c r="E171" s="52"/>
      <c r="F171" s="55" t="str">
        <f t="shared" si="0"/>
        <v/>
      </c>
      <c r="G171" s="56" t="str">
        <f t="shared" si="1"/>
        <v/>
      </c>
      <c r="H171" s="55" t="str">
        <f t="shared" si="2"/>
        <v/>
      </c>
      <c r="I171" s="59"/>
      <c r="J171" s="59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90"/>
      <c r="B172" s="52"/>
      <c r="C172" s="53"/>
      <c r="D172" s="54"/>
      <c r="E172" s="52"/>
      <c r="F172" s="55" t="str">
        <f t="shared" si="0"/>
        <v/>
      </c>
      <c r="G172" s="56" t="str">
        <f t="shared" si="1"/>
        <v/>
      </c>
      <c r="H172" s="55" t="str">
        <f t="shared" si="2"/>
        <v/>
      </c>
      <c r="I172" s="59"/>
      <c r="J172" s="59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90"/>
      <c r="B173" s="52"/>
      <c r="C173" s="53"/>
      <c r="D173" s="54"/>
      <c r="E173" s="52"/>
      <c r="F173" s="55" t="str">
        <f t="shared" si="0"/>
        <v/>
      </c>
      <c r="G173" s="56" t="str">
        <f t="shared" si="1"/>
        <v/>
      </c>
      <c r="H173" s="55" t="str">
        <f t="shared" si="2"/>
        <v/>
      </c>
      <c r="I173" s="59"/>
      <c r="J173" s="59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90"/>
      <c r="B174" s="52"/>
      <c r="C174" s="53"/>
      <c r="D174" s="54"/>
      <c r="E174" s="52"/>
      <c r="F174" s="55" t="str">
        <f t="shared" si="0"/>
        <v/>
      </c>
      <c r="G174" s="56" t="str">
        <f t="shared" si="1"/>
        <v/>
      </c>
      <c r="H174" s="55" t="str">
        <f t="shared" si="2"/>
        <v/>
      </c>
      <c r="I174" s="59"/>
      <c r="J174" s="59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90"/>
      <c r="B175" s="52"/>
      <c r="C175" s="53"/>
      <c r="D175" s="54"/>
      <c r="E175" s="52"/>
      <c r="F175" s="55" t="str">
        <f t="shared" si="0"/>
        <v/>
      </c>
      <c r="G175" s="56" t="str">
        <f t="shared" si="1"/>
        <v/>
      </c>
      <c r="H175" s="55" t="str">
        <f t="shared" si="2"/>
        <v/>
      </c>
      <c r="I175" s="59"/>
      <c r="J175" s="59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90"/>
      <c r="B176" s="52"/>
      <c r="C176" s="53"/>
      <c r="D176" s="54"/>
      <c r="E176" s="52"/>
      <c r="F176" s="55" t="str">
        <f t="shared" si="0"/>
        <v/>
      </c>
      <c r="G176" s="56" t="str">
        <f t="shared" si="1"/>
        <v/>
      </c>
      <c r="H176" s="55" t="str">
        <f t="shared" si="2"/>
        <v/>
      </c>
      <c r="I176" s="59"/>
      <c r="J176" s="59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90"/>
      <c r="B177" s="52"/>
      <c r="C177" s="53"/>
      <c r="D177" s="54"/>
      <c r="E177" s="52"/>
      <c r="F177" s="55" t="str">
        <f t="shared" si="0"/>
        <v/>
      </c>
      <c r="G177" s="56" t="str">
        <f t="shared" si="1"/>
        <v/>
      </c>
      <c r="H177" s="55" t="str">
        <f t="shared" si="2"/>
        <v/>
      </c>
      <c r="I177" s="59"/>
      <c r="J177" s="59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90"/>
      <c r="B178" s="52"/>
      <c r="C178" s="53"/>
      <c r="D178" s="54"/>
      <c r="E178" s="52"/>
      <c r="F178" s="55" t="str">
        <f t="shared" si="0"/>
        <v/>
      </c>
      <c r="G178" s="56" t="str">
        <f t="shared" si="1"/>
        <v/>
      </c>
      <c r="H178" s="55" t="str">
        <f t="shared" si="2"/>
        <v/>
      </c>
      <c r="I178" s="59"/>
      <c r="J178" s="59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90"/>
      <c r="B179" s="52"/>
      <c r="C179" s="53"/>
      <c r="D179" s="54"/>
      <c r="E179" s="52"/>
      <c r="F179" s="55" t="str">
        <f t="shared" si="0"/>
        <v/>
      </c>
      <c r="G179" s="56" t="str">
        <f t="shared" si="1"/>
        <v/>
      </c>
      <c r="H179" s="55" t="str">
        <f t="shared" si="2"/>
        <v/>
      </c>
      <c r="I179" s="59"/>
      <c r="J179" s="59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90"/>
      <c r="B180" s="52"/>
      <c r="C180" s="53"/>
      <c r="D180" s="54"/>
      <c r="E180" s="52"/>
      <c r="F180" s="55" t="str">
        <f t="shared" si="0"/>
        <v/>
      </c>
      <c r="G180" s="56" t="str">
        <f t="shared" si="1"/>
        <v/>
      </c>
      <c r="H180" s="55" t="str">
        <f t="shared" si="2"/>
        <v/>
      </c>
      <c r="I180" s="59"/>
      <c r="J180" s="59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90"/>
      <c r="B181" s="52"/>
      <c r="C181" s="53"/>
      <c r="D181" s="54"/>
      <c r="E181" s="52"/>
      <c r="F181" s="55" t="str">
        <f t="shared" si="0"/>
        <v/>
      </c>
      <c r="G181" s="56" t="str">
        <f t="shared" si="1"/>
        <v/>
      </c>
      <c r="H181" s="55" t="str">
        <f t="shared" si="2"/>
        <v/>
      </c>
      <c r="I181" s="59"/>
      <c r="J181" s="59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90"/>
      <c r="B182" s="52"/>
      <c r="C182" s="53"/>
      <c r="D182" s="54"/>
      <c r="E182" s="52"/>
      <c r="F182" s="55" t="str">
        <f t="shared" si="0"/>
        <v/>
      </c>
      <c r="G182" s="56" t="str">
        <f t="shared" si="1"/>
        <v/>
      </c>
      <c r="H182" s="55" t="str">
        <f t="shared" si="2"/>
        <v/>
      </c>
      <c r="I182" s="59"/>
      <c r="J182" s="59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90"/>
      <c r="B183" s="52"/>
      <c r="C183" s="53"/>
      <c r="D183" s="54"/>
      <c r="E183" s="52"/>
      <c r="F183" s="55" t="str">
        <f t="shared" si="0"/>
        <v/>
      </c>
      <c r="G183" s="56" t="str">
        <f t="shared" si="1"/>
        <v/>
      </c>
      <c r="H183" s="55" t="str">
        <f t="shared" si="2"/>
        <v/>
      </c>
      <c r="I183" s="59"/>
      <c r="J183" s="59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90"/>
      <c r="B184" s="52"/>
      <c r="C184" s="53"/>
      <c r="D184" s="54"/>
      <c r="E184" s="52"/>
      <c r="F184" s="55" t="str">
        <f t="shared" si="0"/>
        <v/>
      </c>
      <c r="G184" s="56" t="str">
        <f t="shared" si="1"/>
        <v/>
      </c>
      <c r="H184" s="55" t="str">
        <f t="shared" si="2"/>
        <v/>
      </c>
      <c r="I184" s="59"/>
      <c r="J184" s="59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90"/>
      <c r="B185" s="52"/>
      <c r="C185" s="53"/>
      <c r="D185" s="54"/>
      <c r="E185" s="52"/>
      <c r="F185" s="55" t="str">
        <f t="shared" si="0"/>
        <v/>
      </c>
      <c r="G185" s="56" t="str">
        <f t="shared" si="1"/>
        <v/>
      </c>
      <c r="H185" s="55" t="str">
        <f t="shared" si="2"/>
        <v/>
      </c>
      <c r="I185" s="59"/>
      <c r="J185" s="59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90"/>
      <c r="B186" s="52"/>
      <c r="C186" s="53"/>
      <c r="D186" s="54"/>
      <c r="E186" s="52"/>
      <c r="F186" s="55" t="str">
        <f t="shared" si="0"/>
        <v/>
      </c>
      <c r="G186" s="56" t="str">
        <f t="shared" si="1"/>
        <v/>
      </c>
      <c r="H186" s="55" t="str">
        <f t="shared" si="2"/>
        <v/>
      </c>
      <c r="I186" s="59"/>
      <c r="J186" s="59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90"/>
      <c r="B187" s="52"/>
      <c r="C187" s="53"/>
      <c r="D187" s="54"/>
      <c r="E187" s="52"/>
      <c r="F187" s="55" t="str">
        <f t="shared" si="0"/>
        <v/>
      </c>
      <c r="G187" s="56" t="str">
        <f t="shared" si="1"/>
        <v/>
      </c>
      <c r="H187" s="55" t="str">
        <f t="shared" si="2"/>
        <v/>
      </c>
      <c r="I187" s="59"/>
      <c r="J187" s="59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90"/>
      <c r="B188" s="52"/>
      <c r="C188" s="53"/>
      <c r="D188" s="54"/>
      <c r="E188" s="52"/>
      <c r="F188" s="55" t="str">
        <f t="shared" si="0"/>
        <v/>
      </c>
      <c r="G188" s="56" t="str">
        <f t="shared" si="1"/>
        <v/>
      </c>
      <c r="H188" s="55" t="str">
        <f t="shared" si="2"/>
        <v/>
      </c>
      <c r="I188" s="59"/>
      <c r="J188" s="59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90"/>
      <c r="B189" s="52"/>
      <c r="C189" s="53"/>
      <c r="D189" s="54"/>
      <c r="E189" s="52"/>
      <c r="F189" s="55" t="str">
        <f t="shared" si="0"/>
        <v/>
      </c>
      <c r="G189" s="56" t="str">
        <f t="shared" si="1"/>
        <v/>
      </c>
      <c r="H189" s="55" t="str">
        <f t="shared" si="2"/>
        <v/>
      </c>
      <c r="I189" s="59"/>
      <c r="J189" s="59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90"/>
      <c r="B190" s="52"/>
      <c r="C190" s="53"/>
      <c r="D190" s="54"/>
      <c r="E190" s="52"/>
      <c r="F190" s="55" t="str">
        <f t="shared" si="0"/>
        <v/>
      </c>
      <c r="G190" s="56" t="str">
        <f t="shared" si="1"/>
        <v/>
      </c>
      <c r="H190" s="55" t="str">
        <f t="shared" si="2"/>
        <v/>
      </c>
      <c r="I190" s="59"/>
      <c r="J190" s="59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90"/>
      <c r="B191" s="52"/>
      <c r="C191" s="53"/>
      <c r="D191" s="54"/>
      <c r="E191" s="52"/>
      <c r="F191" s="55" t="str">
        <f t="shared" si="0"/>
        <v/>
      </c>
      <c r="G191" s="56" t="str">
        <f t="shared" si="1"/>
        <v/>
      </c>
      <c r="H191" s="55" t="str">
        <f t="shared" si="2"/>
        <v/>
      </c>
      <c r="I191" s="59"/>
      <c r="J191" s="59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90"/>
      <c r="B192" s="52"/>
      <c r="C192" s="53"/>
      <c r="D192" s="54"/>
      <c r="E192" s="52"/>
      <c r="F192" s="55" t="str">
        <f t="shared" si="0"/>
        <v/>
      </c>
      <c r="G192" s="56" t="str">
        <f t="shared" si="1"/>
        <v/>
      </c>
      <c r="H192" s="55" t="str">
        <f t="shared" si="2"/>
        <v/>
      </c>
      <c r="I192" s="59"/>
      <c r="J192" s="59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90"/>
      <c r="B193" s="52"/>
      <c r="C193" s="53"/>
      <c r="D193" s="54"/>
      <c r="E193" s="52"/>
      <c r="F193" s="55" t="str">
        <f t="shared" si="0"/>
        <v/>
      </c>
      <c r="G193" s="56" t="str">
        <f t="shared" si="1"/>
        <v/>
      </c>
      <c r="H193" s="55" t="str">
        <f t="shared" si="2"/>
        <v/>
      </c>
      <c r="I193" s="59"/>
      <c r="J193" s="59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90"/>
      <c r="B194" s="52"/>
      <c r="C194" s="53"/>
      <c r="D194" s="54"/>
      <c r="E194" s="52"/>
      <c r="F194" s="55" t="str">
        <f t="shared" si="0"/>
        <v/>
      </c>
      <c r="G194" s="56" t="str">
        <f t="shared" si="1"/>
        <v/>
      </c>
      <c r="H194" s="55" t="str">
        <f t="shared" si="2"/>
        <v/>
      </c>
      <c r="I194" s="59"/>
      <c r="J194" s="59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90"/>
      <c r="B195" s="52"/>
      <c r="C195" s="53"/>
      <c r="D195" s="54"/>
      <c r="E195" s="52"/>
      <c r="F195" s="55" t="str">
        <f t="shared" si="0"/>
        <v/>
      </c>
      <c r="G195" s="56" t="str">
        <f t="shared" si="1"/>
        <v/>
      </c>
      <c r="H195" s="55" t="str">
        <f t="shared" si="2"/>
        <v/>
      </c>
      <c r="I195" s="59"/>
      <c r="J195" s="59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90"/>
      <c r="B196" s="52"/>
      <c r="C196" s="53"/>
      <c r="D196" s="54"/>
      <c r="E196" s="52"/>
      <c r="F196" s="55" t="str">
        <f t="shared" si="0"/>
        <v/>
      </c>
      <c r="G196" s="56" t="str">
        <f t="shared" si="1"/>
        <v/>
      </c>
      <c r="H196" s="55" t="str">
        <f t="shared" si="2"/>
        <v/>
      </c>
      <c r="I196" s="59"/>
      <c r="J196" s="59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90"/>
      <c r="B197" s="52"/>
      <c r="C197" s="53"/>
      <c r="D197" s="54"/>
      <c r="E197" s="52"/>
      <c r="F197" s="55" t="str">
        <f t="shared" si="0"/>
        <v/>
      </c>
      <c r="G197" s="56" t="str">
        <f t="shared" si="1"/>
        <v/>
      </c>
      <c r="H197" s="55" t="str">
        <f t="shared" si="2"/>
        <v/>
      </c>
      <c r="I197" s="59"/>
      <c r="J197" s="59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90"/>
      <c r="B198" s="52"/>
      <c r="C198" s="53"/>
      <c r="D198" s="54"/>
      <c r="E198" s="52"/>
      <c r="F198" s="55" t="str">
        <f t="shared" si="0"/>
        <v/>
      </c>
      <c r="G198" s="56" t="str">
        <f t="shared" si="1"/>
        <v/>
      </c>
      <c r="H198" s="55" t="str">
        <f t="shared" si="2"/>
        <v/>
      </c>
      <c r="I198" s="59"/>
      <c r="J198" s="59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90"/>
      <c r="B199" s="52"/>
      <c r="C199" s="53"/>
      <c r="D199" s="54"/>
      <c r="E199" s="52"/>
      <c r="F199" s="55" t="str">
        <f t="shared" si="0"/>
        <v/>
      </c>
      <c r="G199" s="56" t="str">
        <f t="shared" si="1"/>
        <v/>
      </c>
      <c r="H199" s="55" t="str">
        <f t="shared" si="2"/>
        <v/>
      </c>
      <c r="I199" s="59"/>
      <c r="J199" s="59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90"/>
      <c r="B200" s="52"/>
      <c r="C200" s="53"/>
      <c r="D200" s="54"/>
      <c r="E200" s="52"/>
      <c r="F200" s="55" t="str">
        <f t="shared" si="0"/>
        <v/>
      </c>
      <c r="G200" s="56" t="str">
        <f t="shared" si="1"/>
        <v/>
      </c>
      <c r="H200" s="55" t="str">
        <f t="shared" si="2"/>
        <v/>
      </c>
      <c r="I200" s="59"/>
      <c r="J200" s="59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90"/>
      <c r="B201" s="52"/>
      <c r="C201" s="53"/>
      <c r="D201" s="54"/>
      <c r="E201" s="52"/>
      <c r="F201" s="55" t="str">
        <f t="shared" si="0"/>
        <v/>
      </c>
      <c r="G201" s="56" t="str">
        <f t="shared" si="1"/>
        <v/>
      </c>
      <c r="H201" s="55" t="str">
        <f t="shared" si="2"/>
        <v/>
      </c>
      <c r="I201" s="59"/>
      <c r="J201" s="59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90"/>
      <c r="B202" s="52"/>
      <c r="C202" s="53"/>
      <c r="D202" s="54"/>
      <c r="E202" s="52"/>
      <c r="F202" s="55" t="str">
        <f t="shared" si="0"/>
        <v/>
      </c>
      <c r="G202" s="56" t="str">
        <f t="shared" si="1"/>
        <v/>
      </c>
      <c r="H202" s="55" t="str">
        <f t="shared" si="2"/>
        <v/>
      </c>
      <c r="I202" s="59"/>
      <c r="J202" s="59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90"/>
      <c r="B203" s="52"/>
      <c r="C203" s="53"/>
      <c r="D203" s="54"/>
      <c r="E203" s="52"/>
      <c r="F203" s="55" t="str">
        <f t="shared" si="0"/>
        <v/>
      </c>
      <c r="G203" s="56" t="str">
        <f t="shared" si="1"/>
        <v/>
      </c>
      <c r="H203" s="55" t="str">
        <f t="shared" si="2"/>
        <v/>
      </c>
      <c r="I203" s="59"/>
      <c r="J203" s="59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90"/>
      <c r="B204" s="52"/>
      <c r="C204" s="53"/>
      <c r="D204" s="54"/>
      <c r="E204" s="52"/>
      <c r="F204" s="55" t="str">
        <f t="shared" si="0"/>
        <v/>
      </c>
      <c r="G204" s="56" t="str">
        <f t="shared" si="1"/>
        <v/>
      </c>
      <c r="H204" s="55" t="str">
        <f t="shared" si="2"/>
        <v/>
      </c>
      <c r="I204" s="59"/>
      <c r="J204" s="59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90"/>
      <c r="B205" s="52"/>
      <c r="C205" s="53"/>
      <c r="D205" s="54"/>
      <c r="E205" s="52"/>
      <c r="F205" s="55" t="str">
        <f t="shared" si="0"/>
        <v/>
      </c>
      <c r="G205" s="56" t="str">
        <f t="shared" si="1"/>
        <v/>
      </c>
      <c r="H205" s="55" t="str">
        <f t="shared" si="2"/>
        <v/>
      </c>
      <c r="I205" s="59"/>
      <c r="J205" s="59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90"/>
      <c r="B206" s="52"/>
      <c r="C206" s="53"/>
      <c r="D206" s="54"/>
      <c r="E206" s="52"/>
      <c r="F206" s="55" t="str">
        <f t="shared" si="0"/>
        <v/>
      </c>
      <c r="G206" s="56" t="str">
        <f t="shared" si="1"/>
        <v/>
      </c>
      <c r="H206" s="55" t="str">
        <f t="shared" si="2"/>
        <v/>
      </c>
      <c r="I206" s="59"/>
      <c r="J206" s="59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90"/>
      <c r="B207" s="52"/>
      <c r="C207" s="53"/>
      <c r="D207" s="54"/>
      <c r="E207" s="52"/>
      <c r="F207" s="55" t="str">
        <f t="shared" si="0"/>
        <v/>
      </c>
      <c r="G207" s="56" t="str">
        <f t="shared" si="1"/>
        <v/>
      </c>
      <c r="H207" s="55" t="str">
        <f t="shared" si="2"/>
        <v/>
      </c>
      <c r="I207" s="59"/>
      <c r="J207" s="59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90"/>
      <c r="B208" s="52"/>
      <c r="C208" s="53"/>
      <c r="D208" s="54"/>
      <c r="E208" s="52"/>
      <c r="F208" s="55" t="str">
        <f t="shared" si="0"/>
        <v/>
      </c>
      <c r="G208" s="56" t="str">
        <f t="shared" si="1"/>
        <v/>
      </c>
      <c r="H208" s="55" t="str">
        <f t="shared" si="2"/>
        <v/>
      </c>
      <c r="I208" s="59"/>
      <c r="J208" s="59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90"/>
      <c r="B209" s="52"/>
      <c r="C209" s="53"/>
      <c r="D209" s="54"/>
      <c r="E209" s="52"/>
      <c r="F209" s="55" t="str">
        <f t="shared" si="0"/>
        <v/>
      </c>
      <c r="G209" s="56" t="str">
        <f t="shared" si="1"/>
        <v/>
      </c>
      <c r="H209" s="55" t="str">
        <f t="shared" si="2"/>
        <v/>
      </c>
      <c r="I209" s="59"/>
      <c r="J209" s="59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90"/>
      <c r="B210" s="52"/>
      <c r="C210" s="53"/>
      <c r="D210" s="54"/>
      <c r="E210" s="52"/>
      <c r="F210" s="55" t="str">
        <f t="shared" si="0"/>
        <v/>
      </c>
      <c r="G210" s="56" t="str">
        <f t="shared" si="1"/>
        <v/>
      </c>
      <c r="H210" s="55" t="str">
        <f t="shared" si="2"/>
        <v/>
      </c>
      <c r="I210" s="59"/>
      <c r="J210" s="59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90"/>
      <c r="B211" s="52"/>
      <c r="C211" s="53"/>
      <c r="D211" s="54"/>
      <c r="E211" s="52"/>
      <c r="F211" s="55" t="str">
        <f t="shared" si="0"/>
        <v/>
      </c>
      <c r="G211" s="56" t="str">
        <f t="shared" si="1"/>
        <v/>
      </c>
      <c r="H211" s="55" t="str">
        <f t="shared" si="2"/>
        <v/>
      </c>
      <c r="I211" s="59"/>
      <c r="J211" s="59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90"/>
      <c r="B212" s="52"/>
      <c r="C212" s="53"/>
      <c r="D212" s="54"/>
      <c r="E212" s="52"/>
      <c r="F212" s="55" t="str">
        <f t="shared" si="0"/>
        <v/>
      </c>
      <c r="G212" s="56" t="str">
        <f t="shared" si="1"/>
        <v/>
      </c>
      <c r="H212" s="55" t="str">
        <f t="shared" si="2"/>
        <v/>
      </c>
      <c r="I212" s="59"/>
      <c r="J212" s="59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90"/>
      <c r="B213" s="52"/>
      <c r="C213" s="53"/>
      <c r="D213" s="54"/>
      <c r="E213" s="52"/>
      <c r="F213" s="55" t="str">
        <f t="shared" si="0"/>
        <v/>
      </c>
      <c r="G213" s="56" t="str">
        <f t="shared" si="1"/>
        <v/>
      </c>
      <c r="H213" s="55" t="str">
        <f t="shared" si="2"/>
        <v/>
      </c>
      <c r="I213" s="59"/>
      <c r="J213" s="59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90"/>
      <c r="B214" s="52"/>
      <c r="C214" s="53"/>
      <c r="D214" s="54"/>
      <c r="E214" s="52"/>
      <c r="F214" s="55" t="str">
        <f t="shared" si="0"/>
        <v/>
      </c>
      <c r="G214" s="56" t="str">
        <f t="shared" si="1"/>
        <v/>
      </c>
      <c r="H214" s="55" t="str">
        <f t="shared" si="2"/>
        <v/>
      </c>
      <c r="I214" s="59"/>
      <c r="J214" s="59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90"/>
      <c r="B215" s="52"/>
      <c r="C215" s="53"/>
      <c r="D215" s="54"/>
      <c r="E215" s="52"/>
      <c r="F215" s="55" t="str">
        <f t="shared" si="0"/>
        <v/>
      </c>
      <c r="G215" s="56" t="str">
        <f t="shared" si="1"/>
        <v/>
      </c>
      <c r="H215" s="55" t="str">
        <f t="shared" si="2"/>
        <v/>
      </c>
      <c r="I215" s="59"/>
      <c r="J215" s="59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90"/>
      <c r="B216" s="52"/>
      <c r="C216" s="53"/>
      <c r="D216" s="54"/>
      <c r="E216" s="52"/>
      <c r="F216" s="55" t="str">
        <f t="shared" si="0"/>
        <v/>
      </c>
      <c r="G216" s="56" t="str">
        <f t="shared" si="1"/>
        <v/>
      </c>
      <c r="H216" s="55" t="str">
        <f t="shared" si="2"/>
        <v/>
      </c>
      <c r="I216" s="59"/>
      <c r="J216" s="59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90"/>
      <c r="B217" s="52"/>
      <c r="C217" s="53"/>
      <c r="D217" s="54"/>
      <c r="E217" s="52"/>
      <c r="F217" s="55" t="str">
        <f t="shared" si="0"/>
        <v/>
      </c>
      <c r="G217" s="56" t="str">
        <f t="shared" si="1"/>
        <v/>
      </c>
      <c r="H217" s="55" t="str">
        <f t="shared" si="2"/>
        <v/>
      </c>
      <c r="I217" s="59"/>
      <c r="J217" s="59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90"/>
      <c r="B218" s="52"/>
      <c r="C218" s="53"/>
      <c r="D218" s="54"/>
      <c r="E218" s="52"/>
      <c r="F218" s="55" t="str">
        <f t="shared" si="0"/>
        <v/>
      </c>
      <c r="G218" s="56" t="str">
        <f t="shared" si="1"/>
        <v/>
      </c>
      <c r="H218" s="55" t="str">
        <f t="shared" si="2"/>
        <v/>
      </c>
      <c r="I218" s="59"/>
      <c r="J218" s="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90"/>
      <c r="B219" s="52"/>
      <c r="C219" s="53"/>
      <c r="D219" s="54"/>
      <c r="E219" s="52"/>
      <c r="F219" s="55" t="str">
        <f t="shared" si="0"/>
        <v/>
      </c>
      <c r="G219" s="56" t="str">
        <f t="shared" si="1"/>
        <v/>
      </c>
      <c r="H219" s="55" t="str">
        <f t="shared" si="2"/>
        <v/>
      </c>
      <c r="I219" s="59"/>
      <c r="J219" s="59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90"/>
      <c r="B220" s="52"/>
      <c r="C220" s="53"/>
      <c r="D220" s="54"/>
      <c r="E220" s="52"/>
      <c r="F220" s="55" t="str">
        <f t="shared" si="0"/>
        <v/>
      </c>
      <c r="G220" s="56" t="str">
        <f t="shared" si="1"/>
        <v/>
      </c>
      <c r="H220" s="55" t="str">
        <f t="shared" si="2"/>
        <v/>
      </c>
      <c r="I220" s="59"/>
      <c r="J220" s="59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90"/>
      <c r="B221" s="52"/>
      <c r="C221" s="53"/>
      <c r="D221" s="54"/>
      <c r="E221" s="52"/>
      <c r="F221" s="55" t="str">
        <f t="shared" si="0"/>
        <v/>
      </c>
      <c r="G221" s="56" t="str">
        <f t="shared" si="1"/>
        <v/>
      </c>
      <c r="H221" s="55" t="str">
        <f t="shared" si="2"/>
        <v/>
      </c>
      <c r="I221" s="59"/>
      <c r="J221" s="59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90"/>
      <c r="B222" s="52"/>
      <c r="C222" s="53"/>
      <c r="D222" s="54"/>
      <c r="E222" s="52"/>
      <c r="F222" s="55" t="str">
        <f t="shared" si="0"/>
        <v/>
      </c>
      <c r="G222" s="56" t="str">
        <f t="shared" si="1"/>
        <v/>
      </c>
      <c r="H222" s="55" t="str">
        <f t="shared" si="2"/>
        <v/>
      </c>
      <c r="I222" s="59"/>
      <c r="J222" s="59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90"/>
      <c r="B223" s="52"/>
      <c r="C223" s="53"/>
      <c r="D223" s="54"/>
      <c r="E223" s="52"/>
      <c r="F223" s="55" t="str">
        <f t="shared" si="0"/>
        <v/>
      </c>
      <c r="G223" s="56" t="str">
        <f t="shared" si="1"/>
        <v/>
      </c>
      <c r="H223" s="55" t="str">
        <f t="shared" si="2"/>
        <v/>
      </c>
      <c r="I223" s="59"/>
      <c r="J223" s="59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90"/>
      <c r="B224" s="52"/>
      <c r="C224" s="53"/>
      <c r="D224" s="54"/>
      <c r="E224" s="52"/>
      <c r="F224" s="55" t="str">
        <f t="shared" si="0"/>
        <v/>
      </c>
      <c r="G224" s="56" t="str">
        <f t="shared" si="1"/>
        <v/>
      </c>
      <c r="H224" s="55" t="str">
        <f t="shared" si="2"/>
        <v/>
      </c>
      <c r="I224" s="59"/>
      <c r="J224" s="59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90"/>
      <c r="B225" s="52"/>
      <c r="C225" s="53"/>
      <c r="D225" s="54"/>
      <c r="E225" s="52"/>
      <c r="F225" s="55" t="str">
        <f t="shared" si="0"/>
        <v/>
      </c>
      <c r="G225" s="56" t="str">
        <f t="shared" si="1"/>
        <v/>
      </c>
      <c r="H225" s="55" t="str">
        <f t="shared" si="2"/>
        <v/>
      </c>
      <c r="I225" s="59"/>
      <c r="J225" s="59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90"/>
      <c r="B226" s="52"/>
      <c r="C226" s="53"/>
      <c r="D226" s="54"/>
      <c r="E226" s="52"/>
      <c r="F226" s="55" t="str">
        <f t="shared" si="0"/>
        <v/>
      </c>
      <c r="G226" s="56" t="str">
        <f t="shared" si="1"/>
        <v/>
      </c>
      <c r="H226" s="55" t="str">
        <f t="shared" si="2"/>
        <v/>
      </c>
      <c r="I226" s="59"/>
      <c r="J226" s="59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90"/>
      <c r="B227" s="52"/>
      <c r="C227" s="53"/>
      <c r="D227" s="54"/>
      <c r="E227" s="52"/>
      <c r="F227" s="55" t="str">
        <f t="shared" si="0"/>
        <v/>
      </c>
      <c r="G227" s="56" t="str">
        <f t="shared" si="1"/>
        <v/>
      </c>
      <c r="H227" s="55" t="str">
        <f t="shared" si="2"/>
        <v/>
      </c>
      <c r="I227" s="59"/>
      <c r="J227" s="59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90"/>
      <c r="B228" s="52"/>
      <c r="C228" s="53"/>
      <c r="D228" s="54"/>
      <c r="E228" s="52"/>
      <c r="F228" s="55" t="str">
        <f t="shared" si="0"/>
        <v/>
      </c>
      <c r="G228" s="56" t="str">
        <f t="shared" si="1"/>
        <v/>
      </c>
      <c r="H228" s="55" t="str">
        <f t="shared" si="2"/>
        <v/>
      </c>
      <c r="I228" s="59"/>
      <c r="J228" s="59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90"/>
      <c r="B229" s="52"/>
      <c r="C229" s="53"/>
      <c r="D229" s="54"/>
      <c r="E229" s="52"/>
      <c r="F229" s="55" t="str">
        <f t="shared" si="0"/>
        <v/>
      </c>
      <c r="G229" s="56" t="str">
        <f t="shared" si="1"/>
        <v/>
      </c>
      <c r="H229" s="55" t="str">
        <f t="shared" si="2"/>
        <v/>
      </c>
      <c r="I229" s="59"/>
      <c r="J229" s="59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90"/>
      <c r="B230" s="52"/>
      <c r="C230" s="53"/>
      <c r="D230" s="54"/>
      <c r="E230" s="52"/>
      <c r="F230" s="55" t="str">
        <f t="shared" si="0"/>
        <v/>
      </c>
      <c r="G230" s="56" t="str">
        <f t="shared" si="1"/>
        <v/>
      </c>
      <c r="H230" s="55" t="str">
        <f t="shared" si="2"/>
        <v/>
      </c>
      <c r="I230" s="59"/>
      <c r="J230" s="59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90"/>
      <c r="B231" s="52"/>
      <c r="C231" s="53"/>
      <c r="D231" s="54"/>
      <c r="E231" s="52"/>
      <c r="F231" s="55" t="str">
        <f t="shared" si="0"/>
        <v/>
      </c>
      <c r="G231" s="56" t="str">
        <f t="shared" si="1"/>
        <v/>
      </c>
      <c r="H231" s="55" t="str">
        <f t="shared" si="2"/>
        <v/>
      </c>
      <c r="I231" s="59"/>
      <c r="J231" s="59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90"/>
      <c r="B232" s="52"/>
      <c r="C232" s="53"/>
      <c r="D232" s="54"/>
      <c r="E232" s="52"/>
      <c r="F232" s="55" t="str">
        <f t="shared" si="0"/>
        <v/>
      </c>
      <c r="G232" s="56" t="str">
        <f t="shared" si="1"/>
        <v/>
      </c>
      <c r="H232" s="55" t="str">
        <f t="shared" si="2"/>
        <v/>
      </c>
      <c r="I232" s="59"/>
      <c r="J232" s="59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90"/>
      <c r="B233" s="52"/>
      <c r="C233" s="53"/>
      <c r="D233" s="54"/>
      <c r="E233" s="52"/>
      <c r="F233" s="55" t="str">
        <f t="shared" si="0"/>
        <v/>
      </c>
      <c r="G233" s="56" t="str">
        <f t="shared" si="1"/>
        <v/>
      </c>
      <c r="H233" s="55" t="str">
        <f t="shared" si="2"/>
        <v/>
      </c>
      <c r="I233" s="59"/>
      <c r="J233" s="59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90"/>
      <c r="B234" s="52"/>
      <c r="C234" s="53"/>
      <c r="D234" s="54"/>
      <c r="E234" s="52"/>
      <c r="F234" s="55" t="str">
        <f t="shared" si="0"/>
        <v/>
      </c>
      <c r="G234" s="56" t="str">
        <f t="shared" si="1"/>
        <v/>
      </c>
      <c r="H234" s="55" t="str">
        <f t="shared" si="2"/>
        <v/>
      </c>
      <c r="I234" s="59"/>
      <c r="J234" s="59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90"/>
      <c r="B235" s="52"/>
      <c r="C235" s="53"/>
      <c r="D235" s="54"/>
      <c r="E235" s="52"/>
      <c r="F235" s="55" t="str">
        <f t="shared" si="0"/>
        <v/>
      </c>
      <c r="G235" s="56" t="str">
        <f t="shared" si="1"/>
        <v/>
      </c>
      <c r="H235" s="55" t="str">
        <f t="shared" si="2"/>
        <v/>
      </c>
      <c r="I235" s="59"/>
      <c r="J235" s="59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90"/>
      <c r="B236" s="52"/>
      <c r="C236" s="53"/>
      <c r="D236" s="54"/>
      <c r="E236" s="52"/>
      <c r="F236" s="55" t="str">
        <f t="shared" si="0"/>
        <v/>
      </c>
      <c r="G236" s="56" t="str">
        <f t="shared" si="1"/>
        <v/>
      </c>
      <c r="H236" s="55" t="str">
        <f t="shared" si="2"/>
        <v/>
      </c>
      <c r="I236" s="59"/>
      <c r="J236" s="59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90"/>
      <c r="B237" s="52"/>
      <c r="C237" s="53"/>
      <c r="D237" s="54"/>
      <c r="E237" s="52"/>
      <c r="F237" s="55" t="str">
        <f t="shared" si="0"/>
        <v/>
      </c>
      <c r="G237" s="56" t="str">
        <f t="shared" si="1"/>
        <v/>
      </c>
      <c r="H237" s="55" t="str">
        <f t="shared" si="2"/>
        <v/>
      </c>
      <c r="I237" s="59"/>
      <c r="J237" s="59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90"/>
      <c r="B238" s="52"/>
      <c r="C238" s="53"/>
      <c r="D238" s="54"/>
      <c r="E238" s="52"/>
      <c r="F238" s="55" t="str">
        <f t="shared" si="0"/>
        <v/>
      </c>
      <c r="G238" s="56" t="str">
        <f t="shared" si="1"/>
        <v/>
      </c>
      <c r="H238" s="55" t="str">
        <f t="shared" si="2"/>
        <v/>
      </c>
      <c r="I238" s="59"/>
      <c r="J238" s="59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90"/>
      <c r="B239" s="52"/>
      <c r="C239" s="53"/>
      <c r="D239" s="54"/>
      <c r="E239" s="52"/>
      <c r="F239" s="55" t="str">
        <f t="shared" si="0"/>
        <v/>
      </c>
      <c r="G239" s="56" t="str">
        <f t="shared" si="1"/>
        <v/>
      </c>
      <c r="H239" s="55" t="str">
        <f t="shared" si="2"/>
        <v/>
      </c>
      <c r="I239" s="59"/>
      <c r="J239" s="59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90"/>
      <c r="B240" s="52"/>
      <c r="C240" s="53"/>
      <c r="D240" s="54"/>
      <c r="E240" s="52"/>
      <c r="F240" s="55" t="str">
        <f t="shared" si="0"/>
        <v/>
      </c>
      <c r="G240" s="56" t="str">
        <f t="shared" si="1"/>
        <v/>
      </c>
      <c r="H240" s="55" t="str">
        <f t="shared" si="2"/>
        <v/>
      </c>
      <c r="I240" s="59"/>
      <c r="J240" s="59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90"/>
      <c r="B241" s="52"/>
      <c r="C241" s="53"/>
      <c r="D241" s="54"/>
      <c r="E241" s="52"/>
      <c r="F241" s="55" t="str">
        <f t="shared" si="0"/>
        <v/>
      </c>
      <c r="G241" s="56" t="str">
        <f t="shared" si="1"/>
        <v/>
      </c>
      <c r="H241" s="55" t="str">
        <f t="shared" si="2"/>
        <v/>
      </c>
      <c r="I241" s="59"/>
      <c r="J241" s="59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90"/>
      <c r="B242" s="52"/>
      <c r="C242" s="53"/>
      <c r="D242" s="54"/>
      <c r="E242" s="52"/>
      <c r="F242" s="55" t="str">
        <f t="shared" si="0"/>
        <v/>
      </c>
      <c r="G242" s="56" t="str">
        <f t="shared" si="1"/>
        <v/>
      </c>
      <c r="H242" s="55" t="str">
        <f t="shared" si="2"/>
        <v/>
      </c>
      <c r="I242" s="59"/>
      <c r="J242" s="59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90"/>
      <c r="B243" s="52"/>
      <c r="C243" s="53"/>
      <c r="D243" s="54"/>
      <c r="E243" s="52"/>
      <c r="F243" s="55" t="str">
        <f t="shared" si="0"/>
        <v/>
      </c>
      <c r="G243" s="56" t="str">
        <f t="shared" si="1"/>
        <v/>
      </c>
      <c r="H243" s="55" t="str">
        <f t="shared" si="2"/>
        <v/>
      </c>
      <c r="I243" s="59"/>
      <c r="J243" s="59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90"/>
      <c r="B244" s="52"/>
      <c r="C244" s="53"/>
      <c r="D244" s="54"/>
      <c r="E244" s="52"/>
      <c r="F244" s="55" t="str">
        <f t="shared" si="0"/>
        <v/>
      </c>
      <c r="G244" s="56" t="str">
        <f t="shared" si="1"/>
        <v/>
      </c>
      <c r="H244" s="55" t="str">
        <f t="shared" si="2"/>
        <v/>
      </c>
      <c r="I244" s="59"/>
      <c r="J244" s="59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90"/>
      <c r="B245" s="52"/>
      <c r="C245" s="53"/>
      <c r="D245" s="54"/>
      <c r="E245" s="52"/>
      <c r="F245" s="55" t="str">
        <f t="shared" si="0"/>
        <v/>
      </c>
      <c r="G245" s="56" t="str">
        <f t="shared" si="1"/>
        <v/>
      </c>
      <c r="H245" s="55" t="str">
        <f t="shared" si="2"/>
        <v/>
      </c>
      <c r="I245" s="59"/>
      <c r="J245" s="59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90"/>
      <c r="B246" s="52"/>
      <c r="C246" s="53"/>
      <c r="D246" s="54"/>
      <c r="E246" s="52"/>
      <c r="F246" s="55" t="str">
        <f t="shared" si="0"/>
        <v/>
      </c>
      <c r="G246" s="56" t="str">
        <f t="shared" si="1"/>
        <v/>
      </c>
      <c r="H246" s="55" t="str">
        <f t="shared" si="2"/>
        <v/>
      </c>
      <c r="I246" s="59"/>
      <c r="J246" s="59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90"/>
      <c r="B247" s="52"/>
      <c r="C247" s="53"/>
      <c r="D247" s="54"/>
      <c r="E247" s="52"/>
      <c r="F247" s="55" t="str">
        <f t="shared" si="0"/>
        <v/>
      </c>
      <c r="G247" s="56" t="str">
        <f t="shared" si="1"/>
        <v/>
      </c>
      <c r="H247" s="55" t="str">
        <f t="shared" si="2"/>
        <v/>
      </c>
      <c r="I247" s="59"/>
      <c r="J247" s="59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90"/>
      <c r="B248" s="52"/>
      <c r="C248" s="53"/>
      <c r="D248" s="54"/>
      <c r="E248" s="52"/>
      <c r="F248" s="55" t="str">
        <f t="shared" si="0"/>
        <v/>
      </c>
      <c r="G248" s="56" t="str">
        <f t="shared" si="1"/>
        <v/>
      </c>
      <c r="H248" s="55" t="str">
        <f t="shared" si="2"/>
        <v/>
      </c>
      <c r="I248" s="59"/>
      <c r="J248" s="59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90"/>
      <c r="B249" s="52"/>
      <c r="C249" s="53"/>
      <c r="D249" s="54"/>
      <c r="E249" s="52"/>
      <c r="F249" s="55" t="str">
        <f t="shared" si="0"/>
        <v/>
      </c>
      <c r="G249" s="56" t="str">
        <f t="shared" si="1"/>
        <v/>
      </c>
      <c r="H249" s="55" t="str">
        <f t="shared" si="2"/>
        <v/>
      </c>
      <c r="I249" s="59"/>
      <c r="J249" s="59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90"/>
      <c r="B250" s="52"/>
      <c r="C250" s="53"/>
      <c r="D250" s="54"/>
      <c r="E250" s="52"/>
      <c r="F250" s="55" t="str">
        <f t="shared" si="0"/>
        <v/>
      </c>
      <c r="G250" s="56" t="str">
        <f t="shared" si="1"/>
        <v/>
      </c>
      <c r="H250" s="55" t="str">
        <f t="shared" si="2"/>
        <v/>
      </c>
      <c r="I250" s="59"/>
      <c r="J250" s="59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90"/>
      <c r="B251" s="52"/>
      <c r="C251" s="53"/>
      <c r="D251" s="54"/>
      <c r="E251" s="52"/>
      <c r="F251" s="55" t="str">
        <f t="shared" si="0"/>
        <v/>
      </c>
      <c r="G251" s="56" t="str">
        <f t="shared" si="1"/>
        <v/>
      </c>
      <c r="H251" s="55" t="str">
        <f t="shared" si="2"/>
        <v/>
      </c>
      <c r="I251" s="59"/>
      <c r="J251" s="59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90"/>
      <c r="B252" s="52"/>
      <c r="C252" s="53"/>
      <c r="D252" s="54"/>
      <c r="E252" s="52"/>
      <c r="F252" s="55" t="str">
        <f t="shared" si="0"/>
        <v/>
      </c>
      <c r="G252" s="56" t="str">
        <f t="shared" si="1"/>
        <v/>
      </c>
      <c r="H252" s="55" t="str">
        <f t="shared" si="2"/>
        <v/>
      </c>
      <c r="I252" s="59"/>
      <c r="J252" s="59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90"/>
      <c r="B253" s="52"/>
      <c r="C253" s="53"/>
      <c r="D253" s="54"/>
      <c r="E253" s="52"/>
      <c r="F253" s="55" t="str">
        <f t="shared" si="0"/>
        <v/>
      </c>
      <c r="G253" s="56" t="str">
        <f t="shared" si="1"/>
        <v/>
      </c>
      <c r="H253" s="55" t="str">
        <f t="shared" si="2"/>
        <v/>
      </c>
      <c r="I253" s="59"/>
      <c r="J253" s="59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90"/>
      <c r="B254" s="52"/>
      <c r="C254" s="53"/>
      <c r="D254" s="54"/>
      <c r="E254" s="52"/>
      <c r="F254" s="55" t="str">
        <f t="shared" si="0"/>
        <v/>
      </c>
      <c r="G254" s="56" t="str">
        <f t="shared" si="1"/>
        <v/>
      </c>
      <c r="H254" s="55" t="str">
        <f t="shared" si="2"/>
        <v/>
      </c>
      <c r="I254" s="59"/>
      <c r="J254" s="59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90"/>
      <c r="B255" s="52"/>
      <c r="C255" s="53"/>
      <c r="D255" s="54"/>
      <c r="E255" s="52"/>
      <c r="F255" s="55" t="str">
        <f t="shared" si="0"/>
        <v/>
      </c>
      <c r="G255" s="56" t="str">
        <f t="shared" si="1"/>
        <v/>
      </c>
      <c r="H255" s="55" t="str">
        <f t="shared" si="2"/>
        <v/>
      </c>
      <c r="I255" s="59"/>
      <c r="J255" s="59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90"/>
      <c r="B256" s="52"/>
      <c r="C256" s="53"/>
      <c r="D256" s="54"/>
      <c r="E256" s="52"/>
      <c r="F256" s="55" t="str">
        <f t="shared" si="0"/>
        <v/>
      </c>
      <c r="G256" s="56" t="str">
        <f t="shared" si="1"/>
        <v/>
      </c>
      <c r="H256" s="55" t="str">
        <f t="shared" si="2"/>
        <v/>
      </c>
      <c r="I256" s="59"/>
      <c r="J256" s="59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90"/>
      <c r="B257" s="52"/>
      <c r="C257" s="53"/>
      <c r="D257" s="54"/>
      <c r="E257" s="52"/>
      <c r="F257" s="55" t="str">
        <f t="shared" si="0"/>
        <v/>
      </c>
      <c r="G257" s="56" t="str">
        <f t="shared" si="1"/>
        <v/>
      </c>
      <c r="H257" s="55" t="str">
        <f t="shared" si="2"/>
        <v/>
      </c>
      <c r="I257" s="59"/>
      <c r="J257" s="59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90"/>
      <c r="B258" s="52"/>
      <c r="C258" s="53"/>
      <c r="D258" s="54"/>
      <c r="E258" s="52"/>
      <c r="F258" s="55" t="str">
        <f t="shared" si="0"/>
        <v/>
      </c>
      <c r="G258" s="56" t="str">
        <f t="shared" si="1"/>
        <v/>
      </c>
      <c r="H258" s="55" t="str">
        <f t="shared" si="2"/>
        <v/>
      </c>
      <c r="I258" s="59"/>
      <c r="J258" s="59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90"/>
      <c r="B259" s="52"/>
      <c r="C259" s="53"/>
      <c r="D259" s="54"/>
      <c r="E259" s="52"/>
      <c r="F259" s="55" t="str">
        <f t="shared" si="0"/>
        <v/>
      </c>
      <c r="G259" s="56" t="str">
        <f t="shared" si="1"/>
        <v/>
      </c>
      <c r="H259" s="55" t="str">
        <f t="shared" si="2"/>
        <v/>
      </c>
      <c r="I259" s="59"/>
      <c r="J259" s="59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90"/>
      <c r="B260" s="52"/>
      <c r="C260" s="53"/>
      <c r="D260" s="54"/>
      <c r="E260" s="52"/>
      <c r="F260" s="55" t="str">
        <f t="shared" si="0"/>
        <v/>
      </c>
      <c r="G260" s="56" t="str">
        <f t="shared" si="1"/>
        <v/>
      </c>
      <c r="H260" s="55" t="str">
        <f t="shared" si="2"/>
        <v/>
      </c>
      <c r="I260" s="59"/>
      <c r="J260" s="59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90"/>
      <c r="B261" s="52"/>
      <c r="C261" s="53"/>
      <c r="D261" s="54"/>
      <c r="E261" s="52"/>
      <c r="F261" s="55" t="str">
        <f t="shared" si="0"/>
        <v/>
      </c>
      <c r="G261" s="56" t="str">
        <f t="shared" si="1"/>
        <v/>
      </c>
      <c r="H261" s="55" t="str">
        <f t="shared" si="2"/>
        <v/>
      </c>
      <c r="I261" s="59"/>
      <c r="J261" s="59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90"/>
      <c r="B262" s="52"/>
      <c r="C262" s="53"/>
      <c r="D262" s="54"/>
      <c r="E262" s="52"/>
      <c r="F262" s="55" t="str">
        <f t="shared" si="0"/>
        <v/>
      </c>
      <c r="G262" s="56" t="str">
        <f t="shared" si="1"/>
        <v/>
      </c>
      <c r="H262" s="55" t="str">
        <f t="shared" si="2"/>
        <v/>
      </c>
      <c r="I262" s="59"/>
      <c r="J262" s="59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90"/>
      <c r="B263" s="52"/>
      <c r="C263" s="53"/>
      <c r="D263" s="54"/>
      <c r="E263" s="52"/>
      <c r="F263" s="55" t="str">
        <f t="shared" si="0"/>
        <v/>
      </c>
      <c r="G263" s="56" t="str">
        <f t="shared" si="1"/>
        <v/>
      </c>
      <c r="H263" s="55" t="str">
        <f t="shared" si="2"/>
        <v/>
      </c>
      <c r="I263" s="59"/>
      <c r="J263" s="59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90"/>
      <c r="B264" s="52"/>
      <c r="C264" s="53"/>
      <c r="D264" s="54"/>
      <c r="E264" s="52"/>
      <c r="F264" s="55" t="str">
        <f t="shared" si="0"/>
        <v/>
      </c>
      <c r="G264" s="56" t="str">
        <f t="shared" si="1"/>
        <v/>
      </c>
      <c r="H264" s="55" t="str">
        <f t="shared" si="2"/>
        <v/>
      </c>
      <c r="I264" s="59"/>
      <c r="J264" s="59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90"/>
      <c r="B265" s="52"/>
      <c r="C265" s="53"/>
      <c r="D265" s="54"/>
      <c r="E265" s="52"/>
      <c r="F265" s="55" t="str">
        <f t="shared" si="0"/>
        <v/>
      </c>
      <c r="G265" s="56" t="str">
        <f t="shared" si="1"/>
        <v/>
      </c>
      <c r="H265" s="55" t="str">
        <f t="shared" si="2"/>
        <v/>
      </c>
      <c r="I265" s="59"/>
      <c r="J265" s="59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90"/>
      <c r="B266" s="52"/>
      <c r="C266" s="53"/>
      <c r="D266" s="54"/>
      <c r="E266" s="52"/>
      <c r="F266" s="55" t="str">
        <f t="shared" si="0"/>
        <v/>
      </c>
      <c r="G266" s="56" t="str">
        <f t="shared" si="1"/>
        <v/>
      </c>
      <c r="H266" s="55" t="str">
        <f t="shared" si="2"/>
        <v/>
      </c>
      <c r="I266" s="59"/>
      <c r="J266" s="59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90"/>
      <c r="B267" s="52"/>
      <c r="C267" s="53"/>
      <c r="D267" s="54"/>
      <c r="E267" s="52"/>
      <c r="F267" s="55" t="str">
        <f t="shared" si="0"/>
        <v/>
      </c>
      <c r="G267" s="56" t="str">
        <f t="shared" si="1"/>
        <v/>
      </c>
      <c r="H267" s="55" t="str">
        <f t="shared" si="2"/>
        <v/>
      </c>
      <c r="I267" s="59"/>
      <c r="J267" s="59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90"/>
      <c r="B268" s="52"/>
      <c r="C268" s="53"/>
      <c r="D268" s="54"/>
      <c r="E268" s="52"/>
      <c r="F268" s="55" t="str">
        <f t="shared" si="0"/>
        <v/>
      </c>
      <c r="G268" s="56" t="str">
        <f t="shared" si="1"/>
        <v/>
      </c>
      <c r="H268" s="55" t="str">
        <f t="shared" si="2"/>
        <v/>
      </c>
      <c r="I268" s="59"/>
      <c r="J268" s="59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90"/>
      <c r="B269" s="52"/>
      <c r="C269" s="53"/>
      <c r="D269" s="54"/>
      <c r="E269" s="52"/>
      <c r="F269" s="55" t="str">
        <f t="shared" si="0"/>
        <v/>
      </c>
      <c r="G269" s="56" t="str">
        <f t="shared" si="1"/>
        <v/>
      </c>
      <c r="H269" s="55" t="str">
        <f t="shared" si="2"/>
        <v/>
      </c>
      <c r="I269" s="59"/>
      <c r="J269" s="59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90"/>
      <c r="B270" s="52"/>
      <c r="C270" s="53"/>
      <c r="D270" s="54"/>
      <c r="E270" s="52"/>
      <c r="F270" s="55" t="str">
        <f t="shared" si="0"/>
        <v/>
      </c>
      <c r="G270" s="56" t="str">
        <f t="shared" si="1"/>
        <v/>
      </c>
      <c r="H270" s="55" t="str">
        <f t="shared" si="2"/>
        <v/>
      </c>
      <c r="I270" s="59"/>
      <c r="J270" s="59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90"/>
      <c r="B271" s="52"/>
      <c r="C271" s="53"/>
      <c r="D271" s="54"/>
      <c r="E271" s="52"/>
      <c r="F271" s="55" t="str">
        <f t="shared" si="0"/>
        <v/>
      </c>
      <c r="G271" s="56" t="str">
        <f t="shared" si="1"/>
        <v/>
      </c>
      <c r="H271" s="55" t="str">
        <f t="shared" si="2"/>
        <v/>
      </c>
      <c r="I271" s="59"/>
      <c r="J271" s="59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90"/>
      <c r="B272" s="52"/>
      <c r="C272" s="53"/>
      <c r="D272" s="54"/>
      <c r="E272" s="52"/>
      <c r="F272" s="55" t="str">
        <f t="shared" si="0"/>
        <v/>
      </c>
      <c r="G272" s="56" t="str">
        <f t="shared" si="1"/>
        <v/>
      </c>
      <c r="H272" s="55" t="str">
        <f t="shared" si="2"/>
        <v/>
      </c>
      <c r="I272" s="59"/>
      <c r="J272" s="59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90"/>
      <c r="B273" s="52"/>
      <c r="C273" s="53"/>
      <c r="D273" s="54"/>
      <c r="E273" s="52"/>
      <c r="F273" s="55" t="str">
        <f t="shared" si="0"/>
        <v/>
      </c>
      <c r="G273" s="56" t="str">
        <f t="shared" si="1"/>
        <v/>
      </c>
      <c r="H273" s="55" t="str">
        <f t="shared" si="2"/>
        <v/>
      </c>
      <c r="I273" s="59"/>
      <c r="J273" s="59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90"/>
      <c r="B274" s="52"/>
      <c r="C274" s="53"/>
      <c r="D274" s="54"/>
      <c r="E274" s="52"/>
      <c r="F274" s="55" t="str">
        <f t="shared" si="0"/>
        <v/>
      </c>
      <c r="G274" s="56" t="str">
        <f t="shared" si="1"/>
        <v/>
      </c>
      <c r="H274" s="55" t="str">
        <f t="shared" si="2"/>
        <v/>
      </c>
      <c r="I274" s="59"/>
      <c r="J274" s="59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90"/>
      <c r="B275" s="52"/>
      <c r="C275" s="53"/>
      <c r="D275" s="54"/>
      <c r="E275" s="52"/>
      <c r="F275" s="55" t="str">
        <f t="shared" si="0"/>
        <v/>
      </c>
      <c r="G275" s="56" t="str">
        <f t="shared" si="1"/>
        <v/>
      </c>
      <c r="H275" s="55" t="str">
        <f t="shared" si="2"/>
        <v/>
      </c>
      <c r="I275" s="59"/>
      <c r="J275" s="59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90"/>
      <c r="B276" s="52"/>
      <c r="C276" s="53"/>
      <c r="D276" s="54"/>
      <c r="E276" s="52"/>
      <c r="F276" s="55" t="str">
        <f t="shared" si="0"/>
        <v/>
      </c>
      <c r="G276" s="56" t="str">
        <f t="shared" si="1"/>
        <v/>
      </c>
      <c r="H276" s="55" t="str">
        <f t="shared" si="2"/>
        <v/>
      </c>
      <c r="I276" s="59"/>
      <c r="J276" s="59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90"/>
      <c r="B277" s="52"/>
      <c r="C277" s="53"/>
      <c r="D277" s="54"/>
      <c r="E277" s="52"/>
      <c r="F277" s="55" t="str">
        <f t="shared" si="0"/>
        <v/>
      </c>
      <c r="G277" s="56" t="str">
        <f t="shared" si="1"/>
        <v/>
      </c>
      <c r="H277" s="55" t="str">
        <f t="shared" si="2"/>
        <v/>
      </c>
      <c r="I277" s="59"/>
      <c r="J277" s="59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90"/>
      <c r="B278" s="52"/>
      <c r="C278" s="53"/>
      <c r="D278" s="54"/>
      <c r="E278" s="52"/>
      <c r="F278" s="55" t="str">
        <f t="shared" si="0"/>
        <v/>
      </c>
      <c r="G278" s="56" t="str">
        <f t="shared" si="1"/>
        <v/>
      </c>
      <c r="H278" s="55" t="str">
        <f t="shared" si="2"/>
        <v/>
      </c>
      <c r="I278" s="59"/>
      <c r="J278" s="59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90"/>
      <c r="B279" s="52"/>
      <c r="C279" s="53"/>
      <c r="D279" s="54"/>
      <c r="E279" s="52"/>
      <c r="F279" s="55" t="str">
        <f t="shared" si="0"/>
        <v/>
      </c>
      <c r="G279" s="56" t="str">
        <f t="shared" si="1"/>
        <v/>
      </c>
      <c r="H279" s="55" t="str">
        <f t="shared" si="2"/>
        <v/>
      </c>
      <c r="I279" s="59"/>
      <c r="J279" s="59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90"/>
      <c r="B280" s="52"/>
      <c r="C280" s="53"/>
      <c r="D280" s="54"/>
      <c r="E280" s="52"/>
      <c r="F280" s="55" t="str">
        <f t="shared" si="0"/>
        <v/>
      </c>
      <c r="G280" s="56" t="str">
        <f t="shared" si="1"/>
        <v/>
      </c>
      <c r="H280" s="55" t="str">
        <f t="shared" si="2"/>
        <v/>
      </c>
      <c r="I280" s="59"/>
      <c r="J280" s="59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90"/>
      <c r="B281" s="52"/>
      <c r="C281" s="53"/>
      <c r="D281" s="54"/>
      <c r="E281" s="52"/>
      <c r="F281" s="55" t="str">
        <f t="shared" si="0"/>
        <v/>
      </c>
      <c r="G281" s="56" t="str">
        <f t="shared" si="1"/>
        <v/>
      </c>
      <c r="H281" s="55" t="str">
        <f t="shared" si="2"/>
        <v/>
      </c>
      <c r="I281" s="59"/>
      <c r="J281" s="59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90"/>
      <c r="B282" s="52"/>
      <c r="C282" s="53"/>
      <c r="D282" s="54"/>
      <c r="E282" s="52"/>
      <c r="F282" s="55" t="str">
        <f t="shared" si="0"/>
        <v/>
      </c>
      <c r="G282" s="56" t="str">
        <f t="shared" si="1"/>
        <v/>
      </c>
      <c r="H282" s="55" t="str">
        <f t="shared" si="2"/>
        <v/>
      </c>
      <c r="I282" s="59"/>
      <c r="J282" s="59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90"/>
      <c r="B283" s="52"/>
      <c r="C283" s="53"/>
      <c r="D283" s="54"/>
      <c r="E283" s="52"/>
      <c r="F283" s="55" t="str">
        <f t="shared" si="0"/>
        <v/>
      </c>
      <c r="G283" s="56" t="str">
        <f t="shared" si="1"/>
        <v/>
      </c>
      <c r="H283" s="55" t="str">
        <f t="shared" si="2"/>
        <v/>
      </c>
      <c r="I283" s="59"/>
      <c r="J283" s="59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90"/>
      <c r="B284" s="52"/>
      <c r="C284" s="53"/>
      <c r="D284" s="54"/>
      <c r="E284" s="52"/>
      <c r="F284" s="55" t="str">
        <f t="shared" si="0"/>
        <v/>
      </c>
      <c r="G284" s="56" t="str">
        <f t="shared" si="1"/>
        <v/>
      </c>
      <c r="H284" s="55" t="str">
        <f t="shared" si="2"/>
        <v/>
      </c>
      <c r="I284" s="59"/>
      <c r="J284" s="59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90"/>
      <c r="B285" s="52"/>
      <c r="C285" s="53"/>
      <c r="D285" s="54"/>
      <c r="E285" s="52"/>
      <c r="F285" s="55" t="str">
        <f t="shared" si="0"/>
        <v/>
      </c>
      <c r="G285" s="56" t="str">
        <f t="shared" si="1"/>
        <v/>
      </c>
      <c r="H285" s="55" t="str">
        <f t="shared" si="2"/>
        <v/>
      </c>
      <c r="I285" s="59"/>
      <c r="J285" s="59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90"/>
      <c r="B286" s="52"/>
      <c r="C286" s="53"/>
      <c r="D286" s="54"/>
      <c r="E286" s="52"/>
      <c r="F286" s="55" t="str">
        <f t="shared" si="0"/>
        <v/>
      </c>
      <c r="G286" s="56" t="str">
        <f t="shared" si="1"/>
        <v/>
      </c>
      <c r="H286" s="55" t="str">
        <f t="shared" si="2"/>
        <v/>
      </c>
      <c r="I286" s="59"/>
      <c r="J286" s="59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90"/>
      <c r="B287" s="52"/>
      <c r="C287" s="53"/>
      <c r="D287" s="54"/>
      <c r="E287" s="52"/>
      <c r="F287" s="55" t="str">
        <f t="shared" si="0"/>
        <v/>
      </c>
      <c r="G287" s="56" t="str">
        <f t="shared" si="1"/>
        <v/>
      </c>
      <c r="H287" s="55" t="str">
        <f t="shared" si="2"/>
        <v/>
      </c>
      <c r="I287" s="59"/>
      <c r="J287" s="59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90"/>
      <c r="B288" s="52"/>
      <c r="C288" s="53"/>
      <c r="D288" s="54"/>
      <c r="E288" s="52"/>
      <c r="F288" s="55" t="str">
        <f t="shared" si="0"/>
        <v/>
      </c>
      <c r="G288" s="56" t="str">
        <f t="shared" si="1"/>
        <v/>
      </c>
      <c r="H288" s="55" t="str">
        <f t="shared" si="2"/>
        <v/>
      </c>
      <c r="I288" s="59"/>
      <c r="J288" s="59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90"/>
      <c r="B289" s="52"/>
      <c r="C289" s="53"/>
      <c r="D289" s="54"/>
      <c r="E289" s="52"/>
      <c r="F289" s="55" t="str">
        <f t="shared" si="0"/>
        <v/>
      </c>
      <c r="G289" s="56" t="str">
        <f t="shared" si="1"/>
        <v/>
      </c>
      <c r="H289" s="55" t="str">
        <f t="shared" si="2"/>
        <v/>
      </c>
      <c r="I289" s="59"/>
      <c r="J289" s="59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90"/>
      <c r="B290" s="52"/>
      <c r="C290" s="53"/>
      <c r="D290" s="54"/>
      <c r="E290" s="52"/>
      <c r="F290" s="55" t="str">
        <f t="shared" si="0"/>
        <v/>
      </c>
      <c r="G290" s="56" t="str">
        <f t="shared" si="1"/>
        <v/>
      </c>
      <c r="H290" s="55" t="str">
        <f t="shared" si="2"/>
        <v/>
      </c>
      <c r="I290" s="59"/>
      <c r="J290" s="59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90"/>
      <c r="B291" s="52"/>
      <c r="C291" s="53"/>
      <c r="D291" s="54"/>
      <c r="E291" s="52"/>
      <c r="F291" s="55" t="str">
        <f t="shared" si="0"/>
        <v/>
      </c>
      <c r="G291" s="56" t="str">
        <f t="shared" si="1"/>
        <v/>
      </c>
      <c r="H291" s="55" t="str">
        <f t="shared" si="2"/>
        <v/>
      </c>
      <c r="I291" s="59"/>
      <c r="J291" s="59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90"/>
      <c r="B292" s="52"/>
      <c r="C292" s="53"/>
      <c r="D292" s="54"/>
      <c r="E292" s="52"/>
      <c r="F292" s="55" t="str">
        <f t="shared" si="0"/>
        <v/>
      </c>
      <c r="G292" s="56" t="str">
        <f t="shared" si="1"/>
        <v/>
      </c>
      <c r="H292" s="55" t="str">
        <f t="shared" si="2"/>
        <v/>
      </c>
      <c r="I292" s="59"/>
      <c r="J292" s="59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90"/>
      <c r="B293" s="52"/>
      <c r="C293" s="53"/>
      <c r="D293" s="54"/>
      <c r="E293" s="52"/>
      <c r="F293" s="55" t="str">
        <f t="shared" si="0"/>
        <v/>
      </c>
      <c r="G293" s="56" t="str">
        <f t="shared" si="1"/>
        <v/>
      </c>
      <c r="H293" s="55" t="str">
        <f t="shared" si="2"/>
        <v/>
      </c>
      <c r="I293" s="59"/>
      <c r="J293" s="59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90"/>
      <c r="B294" s="52"/>
      <c r="C294" s="53"/>
      <c r="D294" s="54"/>
      <c r="E294" s="52"/>
      <c r="F294" s="55" t="str">
        <f t="shared" si="0"/>
        <v/>
      </c>
      <c r="G294" s="56" t="str">
        <f t="shared" si="1"/>
        <v/>
      </c>
      <c r="H294" s="55" t="str">
        <f t="shared" si="2"/>
        <v/>
      </c>
      <c r="I294" s="59"/>
      <c r="J294" s="59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90"/>
      <c r="B295" s="52"/>
      <c r="C295" s="53"/>
      <c r="D295" s="54"/>
      <c r="E295" s="52"/>
      <c r="F295" s="55" t="str">
        <f t="shared" si="0"/>
        <v/>
      </c>
      <c r="G295" s="56" t="str">
        <f t="shared" si="1"/>
        <v/>
      </c>
      <c r="H295" s="55" t="str">
        <f t="shared" si="2"/>
        <v/>
      </c>
      <c r="I295" s="59"/>
      <c r="J295" s="59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90"/>
      <c r="B296" s="52"/>
      <c r="C296" s="53"/>
      <c r="D296" s="54"/>
      <c r="E296" s="52"/>
      <c r="F296" s="55" t="str">
        <f t="shared" si="0"/>
        <v/>
      </c>
      <c r="G296" s="56" t="str">
        <f t="shared" si="1"/>
        <v/>
      </c>
      <c r="H296" s="55" t="str">
        <f t="shared" si="2"/>
        <v/>
      </c>
      <c r="I296" s="59"/>
      <c r="J296" s="59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90"/>
      <c r="B297" s="52"/>
      <c r="C297" s="53"/>
      <c r="D297" s="54"/>
      <c r="E297" s="52"/>
      <c r="F297" s="55" t="str">
        <f t="shared" si="0"/>
        <v/>
      </c>
      <c r="G297" s="56" t="str">
        <f t="shared" si="1"/>
        <v/>
      </c>
      <c r="H297" s="55" t="str">
        <f t="shared" si="2"/>
        <v/>
      </c>
      <c r="I297" s="59"/>
      <c r="J297" s="59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90"/>
      <c r="B298" s="52"/>
      <c r="C298" s="53"/>
      <c r="D298" s="54"/>
      <c r="E298" s="52"/>
      <c r="F298" s="55" t="str">
        <f t="shared" si="0"/>
        <v/>
      </c>
      <c r="G298" s="56" t="str">
        <f t="shared" si="1"/>
        <v/>
      </c>
      <c r="H298" s="55" t="str">
        <f t="shared" si="2"/>
        <v/>
      </c>
      <c r="I298" s="59"/>
      <c r="J298" s="59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90"/>
      <c r="B299" s="52"/>
      <c r="C299" s="53"/>
      <c r="D299" s="54"/>
      <c r="E299" s="52"/>
      <c r="F299" s="55" t="str">
        <f t="shared" si="0"/>
        <v/>
      </c>
      <c r="G299" s="56" t="str">
        <f t="shared" si="1"/>
        <v/>
      </c>
      <c r="H299" s="55" t="str">
        <f t="shared" si="2"/>
        <v/>
      </c>
      <c r="I299" s="59"/>
      <c r="J299" s="59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90"/>
      <c r="B300" s="52"/>
      <c r="C300" s="53"/>
      <c r="D300" s="54"/>
      <c r="E300" s="52"/>
      <c r="F300" s="55" t="str">
        <f t="shared" si="0"/>
        <v/>
      </c>
      <c r="G300" s="56" t="str">
        <f t="shared" si="1"/>
        <v/>
      </c>
      <c r="H300" s="55" t="str">
        <f t="shared" si="2"/>
        <v/>
      </c>
      <c r="I300" s="59"/>
      <c r="J300" s="59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90"/>
      <c r="B301" s="52"/>
      <c r="C301" s="53"/>
      <c r="D301" s="54"/>
      <c r="E301" s="52"/>
      <c r="F301" s="55" t="str">
        <f t="shared" si="0"/>
        <v/>
      </c>
      <c r="G301" s="56" t="str">
        <f t="shared" si="1"/>
        <v/>
      </c>
      <c r="H301" s="55" t="str">
        <f t="shared" si="2"/>
        <v/>
      </c>
      <c r="I301" s="59"/>
      <c r="J301" s="59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90"/>
      <c r="B302" s="52"/>
      <c r="C302" s="53"/>
      <c r="D302" s="54"/>
      <c r="E302" s="52"/>
      <c r="F302" s="55" t="str">
        <f t="shared" si="0"/>
        <v/>
      </c>
      <c r="G302" s="56" t="str">
        <f t="shared" si="1"/>
        <v/>
      </c>
      <c r="H302" s="55" t="str">
        <f t="shared" si="2"/>
        <v/>
      </c>
      <c r="I302" s="59"/>
      <c r="J302" s="59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90"/>
      <c r="B303" s="52"/>
      <c r="C303" s="53"/>
      <c r="D303" s="54"/>
      <c r="E303" s="52"/>
      <c r="F303" s="55" t="str">
        <f t="shared" si="0"/>
        <v/>
      </c>
      <c r="G303" s="56" t="str">
        <f t="shared" si="1"/>
        <v/>
      </c>
      <c r="H303" s="55" t="str">
        <f t="shared" si="2"/>
        <v/>
      </c>
      <c r="I303" s="59"/>
      <c r="J303" s="59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90"/>
      <c r="B304" s="52"/>
      <c r="C304" s="53"/>
      <c r="D304" s="54"/>
      <c r="E304" s="52"/>
      <c r="F304" s="55" t="str">
        <f t="shared" si="0"/>
        <v/>
      </c>
      <c r="G304" s="56" t="str">
        <f t="shared" si="1"/>
        <v/>
      </c>
      <c r="H304" s="55" t="str">
        <f t="shared" si="2"/>
        <v/>
      </c>
      <c r="I304" s="59"/>
      <c r="J304" s="59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90"/>
      <c r="B305" s="52"/>
      <c r="C305" s="53"/>
      <c r="D305" s="54"/>
      <c r="E305" s="52"/>
      <c r="F305" s="55" t="str">
        <f t="shared" si="0"/>
        <v/>
      </c>
      <c r="G305" s="56" t="str">
        <f t="shared" si="1"/>
        <v/>
      </c>
      <c r="H305" s="55" t="str">
        <f t="shared" si="2"/>
        <v/>
      </c>
      <c r="I305" s="59"/>
      <c r="J305" s="59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90"/>
      <c r="B306" s="52"/>
      <c r="C306" s="53"/>
      <c r="D306" s="54"/>
      <c r="E306" s="52"/>
      <c r="F306" s="55" t="str">
        <f t="shared" si="0"/>
        <v/>
      </c>
      <c r="G306" s="56" t="str">
        <f t="shared" si="1"/>
        <v/>
      </c>
      <c r="H306" s="55" t="str">
        <f t="shared" si="2"/>
        <v/>
      </c>
      <c r="I306" s="59"/>
      <c r="J306" s="59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90"/>
      <c r="B307" s="52"/>
      <c r="C307" s="53"/>
      <c r="D307" s="54"/>
      <c r="E307" s="52"/>
      <c r="F307" s="55" t="str">
        <f t="shared" si="0"/>
        <v/>
      </c>
      <c r="G307" s="56" t="str">
        <f t="shared" si="1"/>
        <v/>
      </c>
      <c r="H307" s="55" t="str">
        <f t="shared" si="2"/>
        <v/>
      </c>
      <c r="I307" s="59"/>
      <c r="J307" s="59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90"/>
      <c r="B308" s="52"/>
      <c r="C308" s="53"/>
      <c r="D308" s="54"/>
      <c r="E308" s="52"/>
      <c r="F308" s="55" t="str">
        <f t="shared" si="0"/>
        <v/>
      </c>
      <c r="G308" s="56" t="str">
        <f t="shared" si="1"/>
        <v/>
      </c>
      <c r="H308" s="55" t="str">
        <f t="shared" si="2"/>
        <v/>
      </c>
      <c r="I308" s="59"/>
      <c r="J308" s="59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90"/>
      <c r="B309" s="52"/>
      <c r="C309" s="53"/>
      <c r="D309" s="54"/>
      <c r="E309" s="52"/>
      <c r="F309" s="55" t="str">
        <f t="shared" si="0"/>
        <v/>
      </c>
      <c r="G309" s="56" t="str">
        <f t="shared" si="1"/>
        <v/>
      </c>
      <c r="H309" s="55" t="str">
        <f t="shared" si="2"/>
        <v/>
      </c>
      <c r="I309" s="59"/>
      <c r="J309" s="59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90"/>
      <c r="B310" s="52"/>
      <c r="C310" s="53"/>
      <c r="D310" s="54"/>
      <c r="E310" s="52"/>
      <c r="F310" s="55" t="str">
        <f t="shared" si="0"/>
        <v/>
      </c>
      <c r="G310" s="56" t="str">
        <f t="shared" si="1"/>
        <v/>
      </c>
      <c r="H310" s="55" t="str">
        <f t="shared" si="2"/>
        <v/>
      </c>
      <c r="I310" s="59"/>
      <c r="J310" s="59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90"/>
      <c r="B311" s="52"/>
      <c r="C311" s="53"/>
      <c r="D311" s="54"/>
      <c r="E311" s="52"/>
      <c r="F311" s="55" t="str">
        <f t="shared" si="0"/>
        <v/>
      </c>
      <c r="G311" s="56" t="str">
        <f t="shared" si="1"/>
        <v/>
      </c>
      <c r="H311" s="55" t="str">
        <f t="shared" si="2"/>
        <v/>
      </c>
      <c r="I311" s="59"/>
      <c r="J311" s="59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90"/>
      <c r="B312" s="52"/>
      <c r="C312" s="53"/>
      <c r="D312" s="54"/>
      <c r="E312" s="52"/>
      <c r="F312" s="55" t="str">
        <f t="shared" si="0"/>
        <v/>
      </c>
      <c r="G312" s="56" t="str">
        <f t="shared" si="1"/>
        <v/>
      </c>
      <c r="H312" s="55" t="str">
        <f t="shared" si="2"/>
        <v/>
      </c>
      <c r="I312" s="59"/>
      <c r="J312" s="59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90"/>
      <c r="B313" s="52"/>
      <c r="C313" s="53"/>
      <c r="D313" s="54"/>
      <c r="E313" s="52"/>
      <c r="F313" s="55" t="str">
        <f t="shared" si="0"/>
        <v/>
      </c>
      <c r="G313" s="56" t="str">
        <f t="shared" si="1"/>
        <v/>
      </c>
      <c r="H313" s="55" t="str">
        <f t="shared" si="2"/>
        <v/>
      </c>
      <c r="I313" s="59"/>
      <c r="J313" s="59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90"/>
      <c r="B314" s="52"/>
      <c r="C314" s="53"/>
      <c r="D314" s="54"/>
      <c r="E314" s="52"/>
      <c r="F314" s="55" t="str">
        <f t="shared" si="0"/>
        <v/>
      </c>
      <c r="G314" s="56" t="str">
        <f t="shared" si="1"/>
        <v/>
      </c>
      <c r="H314" s="55" t="str">
        <f t="shared" si="2"/>
        <v/>
      </c>
      <c r="I314" s="59"/>
      <c r="J314" s="59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90"/>
      <c r="B315" s="52"/>
      <c r="C315" s="53"/>
      <c r="D315" s="54"/>
      <c r="E315" s="52"/>
      <c r="F315" s="55" t="str">
        <f t="shared" si="0"/>
        <v/>
      </c>
      <c r="G315" s="56" t="str">
        <f t="shared" si="1"/>
        <v/>
      </c>
      <c r="H315" s="55" t="str">
        <f t="shared" si="2"/>
        <v/>
      </c>
      <c r="I315" s="59"/>
      <c r="J315" s="59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90"/>
      <c r="B316" s="52"/>
      <c r="C316" s="53"/>
      <c r="D316" s="54"/>
      <c r="E316" s="52"/>
      <c r="F316" s="55" t="str">
        <f t="shared" si="0"/>
        <v/>
      </c>
      <c r="G316" s="56" t="str">
        <f t="shared" si="1"/>
        <v/>
      </c>
      <c r="H316" s="55" t="str">
        <f t="shared" si="2"/>
        <v/>
      </c>
      <c r="I316" s="59"/>
      <c r="J316" s="59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90"/>
      <c r="B317" s="52"/>
      <c r="C317" s="53"/>
      <c r="D317" s="54"/>
      <c r="E317" s="52"/>
      <c r="F317" s="55" t="str">
        <f t="shared" si="0"/>
        <v/>
      </c>
      <c r="G317" s="56" t="str">
        <f t="shared" si="1"/>
        <v/>
      </c>
      <c r="H317" s="55" t="str">
        <f t="shared" si="2"/>
        <v/>
      </c>
      <c r="I317" s="59"/>
      <c r="J317" s="59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90"/>
      <c r="B318" s="52"/>
      <c r="C318" s="53"/>
      <c r="D318" s="54"/>
      <c r="E318" s="52"/>
      <c r="F318" s="55" t="str">
        <f t="shared" si="0"/>
        <v/>
      </c>
      <c r="G318" s="56" t="str">
        <f t="shared" si="1"/>
        <v/>
      </c>
      <c r="H318" s="55" t="str">
        <f t="shared" si="2"/>
        <v/>
      </c>
      <c r="I318" s="59"/>
      <c r="J318" s="59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90"/>
      <c r="B319" s="52"/>
      <c r="C319" s="53"/>
      <c r="D319" s="54"/>
      <c r="E319" s="52"/>
      <c r="F319" s="55" t="str">
        <f t="shared" si="0"/>
        <v/>
      </c>
      <c r="G319" s="56" t="str">
        <f t="shared" si="1"/>
        <v/>
      </c>
      <c r="H319" s="55" t="str">
        <f t="shared" si="2"/>
        <v/>
      </c>
      <c r="I319" s="59"/>
      <c r="J319" s="59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90"/>
      <c r="B320" s="52"/>
      <c r="C320" s="53"/>
      <c r="D320" s="54"/>
      <c r="E320" s="52"/>
      <c r="F320" s="55" t="str">
        <f t="shared" si="0"/>
        <v/>
      </c>
      <c r="G320" s="56" t="str">
        <f t="shared" si="1"/>
        <v/>
      </c>
      <c r="H320" s="55" t="str">
        <f t="shared" si="2"/>
        <v/>
      </c>
      <c r="I320" s="59"/>
      <c r="J320" s="59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90"/>
      <c r="B321" s="52"/>
      <c r="C321" s="53"/>
      <c r="D321" s="54"/>
      <c r="E321" s="52"/>
      <c r="F321" s="55" t="str">
        <f t="shared" si="0"/>
        <v/>
      </c>
      <c r="G321" s="56" t="str">
        <f t="shared" si="1"/>
        <v/>
      </c>
      <c r="H321" s="55" t="str">
        <f t="shared" si="2"/>
        <v/>
      </c>
      <c r="I321" s="59"/>
      <c r="J321" s="59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90"/>
      <c r="B322" s="52"/>
      <c r="C322" s="53"/>
      <c r="D322" s="54"/>
      <c r="E322" s="52"/>
      <c r="F322" s="55" t="str">
        <f t="shared" si="0"/>
        <v/>
      </c>
      <c r="G322" s="56" t="str">
        <f t="shared" si="1"/>
        <v/>
      </c>
      <c r="H322" s="55" t="str">
        <f t="shared" si="2"/>
        <v/>
      </c>
      <c r="I322" s="59"/>
      <c r="J322" s="59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90"/>
      <c r="B323" s="52"/>
      <c r="C323" s="53"/>
      <c r="D323" s="54"/>
      <c r="E323" s="52"/>
      <c r="F323" s="55" t="str">
        <f t="shared" si="0"/>
        <v/>
      </c>
      <c r="G323" s="56" t="str">
        <f t="shared" si="1"/>
        <v/>
      </c>
      <c r="H323" s="55" t="str">
        <f t="shared" si="2"/>
        <v/>
      </c>
      <c r="I323" s="59"/>
      <c r="J323" s="59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90"/>
      <c r="B324" s="52"/>
      <c r="C324" s="53"/>
      <c r="D324" s="54"/>
      <c r="E324" s="52"/>
      <c r="F324" s="55" t="str">
        <f t="shared" si="0"/>
        <v/>
      </c>
      <c r="G324" s="56" t="str">
        <f t="shared" si="1"/>
        <v/>
      </c>
      <c r="H324" s="55" t="str">
        <f t="shared" si="2"/>
        <v/>
      </c>
      <c r="I324" s="59"/>
      <c r="J324" s="59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90"/>
      <c r="B325" s="52"/>
      <c r="C325" s="53"/>
      <c r="D325" s="54"/>
      <c r="E325" s="52"/>
      <c r="F325" s="55" t="str">
        <f t="shared" si="0"/>
        <v/>
      </c>
      <c r="G325" s="56" t="str">
        <f t="shared" si="1"/>
        <v/>
      </c>
      <c r="H325" s="55" t="str">
        <f t="shared" si="2"/>
        <v/>
      </c>
      <c r="I325" s="59"/>
      <c r="J325" s="59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90"/>
      <c r="B326" s="52"/>
      <c r="C326" s="53"/>
      <c r="D326" s="54"/>
      <c r="E326" s="52"/>
      <c r="F326" s="55" t="str">
        <f t="shared" si="0"/>
        <v/>
      </c>
      <c r="G326" s="56" t="str">
        <f t="shared" si="1"/>
        <v/>
      </c>
      <c r="H326" s="55" t="str">
        <f t="shared" si="2"/>
        <v/>
      </c>
      <c r="I326" s="59"/>
      <c r="J326" s="59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90"/>
      <c r="B327" s="52"/>
      <c r="C327" s="53"/>
      <c r="D327" s="54"/>
      <c r="E327" s="52"/>
      <c r="F327" s="55" t="str">
        <f t="shared" si="0"/>
        <v/>
      </c>
      <c r="G327" s="56" t="str">
        <f t="shared" si="1"/>
        <v/>
      </c>
      <c r="H327" s="55" t="str">
        <f t="shared" si="2"/>
        <v/>
      </c>
      <c r="I327" s="59"/>
      <c r="J327" s="59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90"/>
      <c r="B328" s="52"/>
      <c r="C328" s="53"/>
      <c r="D328" s="54"/>
      <c r="E328" s="52"/>
      <c r="F328" s="55" t="str">
        <f t="shared" si="0"/>
        <v/>
      </c>
      <c r="G328" s="56" t="str">
        <f t="shared" si="1"/>
        <v/>
      </c>
      <c r="H328" s="55" t="str">
        <f t="shared" si="2"/>
        <v/>
      </c>
      <c r="I328" s="59"/>
      <c r="J328" s="59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90"/>
      <c r="B329" s="52"/>
      <c r="C329" s="53"/>
      <c r="D329" s="54"/>
      <c r="E329" s="52"/>
      <c r="F329" s="55" t="str">
        <f t="shared" si="0"/>
        <v/>
      </c>
      <c r="G329" s="56" t="str">
        <f t="shared" si="1"/>
        <v/>
      </c>
      <c r="H329" s="55" t="str">
        <f t="shared" si="2"/>
        <v/>
      </c>
      <c r="I329" s="59"/>
      <c r="J329" s="59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90"/>
      <c r="B330" s="52"/>
      <c r="C330" s="53"/>
      <c r="D330" s="54"/>
      <c r="E330" s="52"/>
      <c r="F330" s="55" t="str">
        <f t="shared" si="0"/>
        <v/>
      </c>
      <c r="G330" s="56" t="str">
        <f t="shared" si="1"/>
        <v/>
      </c>
      <c r="H330" s="55" t="str">
        <f t="shared" si="2"/>
        <v/>
      </c>
      <c r="I330" s="59"/>
      <c r="J330" s="59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90"/>
      <c r="B331" s="52"/>
      <c r="C331" s="53"/>
      <c r="D331" s="54"/>
      <c r="E331" s="52"/>
      <c r="F331" s="55" t="str">
        <f t="shared" si="0"/>
        <v/>
      </c>
      <c r="G331" s="56" t="str">
        <f t="shared" si="1"/>
        <v/>
      </c>
      <c r="H331" s="55" t="str">
        <f t="shared" si="2"/>
        <v/>
      </c>
      <c r="I331" s="59"/>
      <c r="J331" s="59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90"/>
      <c r="B332" s="52"/>
      <c r="C332" s="53"/>
      <c r="D332" s="54"/>
      <c r="E332" s="52"/>
      <c r="F332" s="55" t="str">
        <f t="shared" si="0"/>
        <v/>
      </c>
      <c r="G332" s="56" t="str">
        <f t="shared" si="1"/>
        <v/>
      </c>
      <c r="H332" s="55" t="str">
        <f t="shared" si="2"/>
        <v/>
      </c>
      <c r="I332" s="59"/>
      <c r="J332" s="59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90"/>
      <c r="B333" s="52"/>
      <c r="C333" s="53"/>
      <c r="D333" s="54"/>
      <c r="E333" s="52"/>
      <c r="F333" s="55" t="str">
        <f t="shared" si="0"/>
        <v/>
      </c>
      <c r="G333" s="56" t="str">
        <f t="shared" si="1"/>
        <v/>
      </c>
      <c r="H333" s="55" t="str">
        <f t="shared" si="2"/>
        <v/>
      </c>
      <c r="I333" s="59"/>
      <c r="J333" s="59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90"/>
      <c r="B334" s="52"/>
      <c r="C334" s="53"/>
      <c r="D334" s="54"/>
      <c r="E334" s="52"/>
      <c r="F334" s="55" t="str">
        <f t="shared" si="0"/>
        <v/>
      </c>
      <c r="G334" s="56" t="str">
        <f t="shared" si="1"/>
        <v/>
      </c>
      <c r="H334" s="55" t="str">
        <f t="shared" si="2"/>
        <v/>
      </c>
      <c r="I334" s="59"/>
      <c r="J334" s="59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90"/>
      <c r="B335" s="52"/>
      <c r="C335" s="53"/>
      <c r="D335" s="54"/>
      <c r="E335" s="52"/>
      <c r="F335" s="55" t="str">
        <f t="shared" si="0"/>
        <v/>
      </c>
      <c r="G335" s="56" t="str">
        <f t="shared" si="1"/>
        <v/>
      </c>
      <c r="H335" s="55" t="str">
        <f t="shared" si="2"/>
        <v/>
      </c>
      <c r="I335" s="59"/>
      <c r="J335" s="59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90"/>
      <c r="B336" s="52"/>
      <c r="C336" s="53"/>
      <c r="D336" s="54"/>
      <c r="E336" s="52"/>
      <c r="F336" s="55" t="str">
        <f t="shared" si="0"/>
        <v/>
      </c>
      <c r="G336" s="56" t="str">
        <f t="shared" si="1"/>
        <v/>
      </c>
      <c r="H336" s="55" t="str">
        <f t="shared" si="2"/>
        <v/>
      </c>
      <c r="I336" s="59"/>
      <c r="J336" s="59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90"/>
      <c r="B337" s="52"/>
      <c r="C337" s="53"/>
      <c r="D337" s="54"/>
      <c r="E337" s="52"/>
      <c r="F337" s="55" t="str">
        <f t="shared" si="0"/>
        <v/>
      </c>
      <c r="G337" s="56" t="str">
        <f t="shared" si="1"/>
        <v/>
      </c>
      <c r="H337" s="55" t="str">
        <f t="shared" si="2"/>
        <v/>
      </c>
      <c r="I337" s="59"/>
      <c r="J337" s="59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90"/>
      <c r="B338" s="52"/>
      <c r="C338" s="53"/>
      <c r="D338" s="54"/>
      <c r="E338" s="52"/>
      <c r="F338" s="55" t="str">
        <f t="shared" si="0"/>
        <v/>
      </c>
      <c r="G338" s="56" t="str">
        <f t="shared" si="1"/>
        <v/>
      </c>
      <c r="H338" s="55" t="str">
        <f t="shared" si="2"/>
        <v/>
      </c>
      <c r="I338" s="59"/>
      <c r="J338" s="59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90"/>
      <c r="B339" s="52"/>
      <c r="C339" s="53"/>
      <c r="D339" s="54"/>
      <c r="E339" s="52"/>
      <c r="F339" s="55" t="str">
        <f t="shared" si="0"/>
        <v/>
      </c>
      <c r="G339" s="56" t="str">
        <f t="shared" si="1"/>
        <v/>
      </c>
      <c r="H339" s="55" t="str">
        <f t="shared" si="2"/>
        <v/>
      </c>
      <c r="I339" s="59"/>
      <c r="J339" s="59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90"/>
      <c r="B340" s="52"/>
      <c r="C340" s="53"/>
      <c r="D340" s="54"/>
      <c r="E340" s="52"/>
      <c r="F340" s="55" t="str">
        <f t="shared" si="0"/>
        <v/>
      </c>
      <c r="G340" s="56" t="str">
        <f t="shared" si="1"/>
        <v/>
      </c>
      <c r="H340" s="55" t="str">
        <f t="shared" si="2"/>
        <v/>
      </c>
      <c r="I340" s="59"/>
      <c r="J340" s="59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90"/>
      <c r="B341" s="52"/>
      <c r="C341" s="53"/>
      <c r="D341" s="54"/>
      <c r="E341" s="52"/>
      <c r="F341" s="55" t="str">
        <f t="shared" si="0"/>
        <v/>
      </c>
      <c r="G341" s="56" t="str">
        <f t="shared" si="1"/>
        <v/>
      </c>
      <c r="H341" s="55" t="str">
        <f t="shared" si="2"/>
        <v/>
      </c>
      <c r="I341" s="59"/>
      <c r="J341" s="59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90"/>
      <c r="B342" s="52"/>
      <c r="C342" s="53"/>
      <c r="D342" s="54"/>
      <c r="E342" s="52"/>
      <c r="F342" s="55" t="str">
        <f t="shared" si="0"/>
        <v/>
      </c>
      <c r="G342" s="56" t="str">
        <f t="shared" si="1"/>
        <v/>
      </c>
      <c r="H342" s="55" t="str">
        <f t="shared" si="2"/>
        <v/>
      </c>
      <c r="I342" s="59"/>
      <c r="J342" s="59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90"/>
      <c r="B343" s="52"/>
      <c r="C343" s="53"/>
      <c r="D343" s="54"/>
      <c r="E343" s="52"/>
      <c r="F343" s="55" t="str">
        <f t="shared" si="0"/>
        <v/>
      </c>
      <c r="G343" s="56" t="str">
        <f t="shared" si="1"/>
        <v/>
      </c>
      <c r="H343" s="55" t="str">
        <f t="shared" si="2"/>
        <v/>
      </c>
      <c r="I343" s="59"/>
      <c r="J343" s="59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90"/>
      <c r="B344" s="52"/>
      <c r="C344" s="53"/>
      <c r="D344" s="54"/>
      <c r="E344" s="52"/>
      <c r="F344" s="55" t="str">
        <f t="shared" si="0"/>
        <v/>
      </c>
      <c r="G344" s="56" t="str">
        <f t="shared" si="1"/>
        <v/>
      </c>
      <c r="H344" s="55" t="str">
        <f t="shared" si="2"/>
        <v/>
      </c>
      <c r="I344" s="59"/>
      <c r="J344" s="59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90"/>
      <c r="B345" s="52"/>
      <c r="C345" s="53"/>
      <c r="D345" s="54"/>
      <c r="E345" s="52"/>
      <c r="F345" s="55" t="str">
        <f t="shared" si="0"/>
        <v/>
      </c>
      <c r="G345" s="56" t="str">
        <f t="shared" si="1"/>
        <v/>
      </c>
      <c r="H345" s="55" t="str">
        <f t="shared" si="2"/>
        <v/>
      </c>
      <c r="I345" s="59"/>
      <c r="J345" s="59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90"/>
      <c r="B346" s="52"/>
      <c r="C346" s="53"/>
      <c r="D346" s="54"/>
      <c r="E346" s="52"/>
      <c r="F346" s="55" t="str">
        <f t="shared" si="0"/>
        <v/>
      </c>
      <c r="G346" s="56" t="str">
        <f t="shared" si="1"/>
        <v/>
      </c>
      <c r="H346" s="55" t="str">
        <f t="shared" si="2"/>
        <v/>
      </c>
      <c r="I346" s="59"/>
      <c r="J346" s="59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90"/>
      <c r="B347" s="52"/>
      <c r="C347" s="53"/>
      <c r="D347" s="54"/>
      <c r="E347" s="52"/>
      <c r="F347" s="55" t="str">
        <f t="shared" si="0"/>
        <v/>
      </c>
      <c r="G347" s="56" t="str">
        <f t="shared" si="1"/>
        <v/>
      </c>
      <c r="H347" s="55" t="str">
        <f t="shared" si="2"/>
        <v/>
      </c>
      <c r="I347" s="59"/>
      <c r="J347" s="59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90"/>
      <c r="B348" s="52"/>
      <c r="C348" s="53"/>
      <c r="D348" s="54"/>
      <c r="E348" s="52"/>
      <c r="F348" s="55" t="str">
        <f t="shared" si="0"/>
        <v/>
      </c>
      <c r="G348" s="56" t="str">
        <f t="shared" si="1"/>
        <v/>
      </c>
      <c r="H348" s="55" t="str">
        <f t="shared" si="2"/>
        <v/>
      </c>
      <c r="I348" s="59"/>
      <c r="J348" s="59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90"/>
      <c r="B349" s="52"/>
      <c r="C349" s="53"/>
      <c r="D349" s="54"/>
      <c r="E349" s="52"/>
      <c r="F349" s="55" t="str">
        <f t="shared" si="0"/>
        <v/>
      </c>
      <c r="G349" s="56" t="str">
        <f t="shared" si="1"/>
        <v/>
      </c>
      <c r="H349" s="55" t="str">
        <f t="shared" si="2"/>
        <v/>
      </c>
      <c r="I349" s="59"/>
      <c r="J349" s="59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90"/>
      <c r="B350" s="52"/>
      <c r="C350" s="53"/>
      <c r="D350" s="54"/>
      <c r="E350" s="52"/>
      <c r="F350" s="55" t="str">
        <f t="shared" si="0"/>
        <v/>
      </c>
      <c r="G350" s="56" t="str">
        <f t="shared" si="1"/>
        <v/>
      </c>
      <c r="H350" s="55" t="str">
        <f t="shared" si="2"/>
        <v/>
      </c>
      <c r="I350" s="59"/>
      <c r="J350" s="59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90"/>
      <c r="B351" s="52"/>
      <c r="C351" s="53"/>
      <c r="D351" s="54"/>
      <c r="E351" s="52"/>
      <c r="F351" s="55" t="str">
        <f t="shared" si="0"/>
        <v/>
      </c>
      <c r="G351" s="56" t="str">
        <f t="shared" si="1"/>
        <v/>
      </c>
      <c r="H351" s="55" t="str">
        <f t="shared" si="2"/>
        <v/>
      </c>
      <c r="I351" s="59"/>
      <c r="J351" s="59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90"/>
      <c r="B352" s="52"/>
      <c r="C352" s="53"/>
      <c r="D352" s="54"/>
      <c r="E352" s="52"/>
      <c r="F352" s="55" t="str">
        <f t="shared" si="0"/>
        <v/>
      </c>
      <c r="G352" s="56" t="str">
        <f t="shared" si="1"/>
        <v/>
      </c>
      <c r="H352" s="55" t="str">
        <f t="shared" si="2"/>
        <v/>
      </c>
      <c r="I352" s="59"/>
      <c r="J352" s="59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90"/>
      <c r="B353" s="52"/>
      <c r="C353" s="53"/>
      <c r="D353" s="54"/>
      <c r="E353" s="52"/>
      <c r="F353" s="55" t="str">
        <f t="shared" si="0"/>
        <v/>
      </c>
      <c r="G353" s="56" t="str">
        <f t="shared" si="1"/>
        <v/>
      </c>
      <c r="H353" s="55" t="str">
        <f t="shared" si="2"/>
        <v/>
      </c>
      <c r="I353" s="59"/>
      <c r="J353" s="59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90"/>
      <c r="B354" s="52"/>
      <c r="C354" s="53"/>
      <c r="D354" s="54"/>
      <c r="E354" s="52"/>
      <c r="F354" s="55" t="str">
        <f t="shared" si="0"/>
        <v/>
      </c>
      <c r="G354" s="56" t="str">
        <f t="shared" si="1"/>
        <v/>
      </c>
      <c r="H354" s="55" t="str">
        <f t="shared" si="2"/>
        <v/>
      </c>
      <c r="I354" s="59"/>
      <c r="J354" s="59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90"/>
      <c r="B355" s="52"/>
      <c r="C355" s="53"/>
      <c r="D355" s="54"/>
      <c r="E355" s="52"/>
      <c r="F355" s="55" t="str">
        <f t="shared" si="0"/>
        <v/>
      </c>
      <c r="G355" s="56" t="str">
        <f t="shared" si="1"/>
        <v/>
      </c>
      <c r="H355" s="55" t="str">
        <f t="shared" si="2"/>
        <v/>
      </c>
      <c r="I355" s="59"/>
      <c r="J355" s="59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90"/>
      <c r="B356" s="52"/>
      <c r="C356" s="53"/>
      <c r="D356" s="54"/>
      <c r="E356" s="52"/>
      <c r="F356" s="55" t="str">
        <f t="shared" si="0"/>
        <v/>
      </c>
      <c r="G356" s="56" t="str">
        <f t="shared" si="1"/>
        <v/>
      </c>
      <c r="H356" s="55" t="str">
        <f t="shared" si="2"/>
        <v/>
      </c>
      <c r="I356" s="59"/>
      <c r="J356" s="59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90"/>
      <c r="B357" s="52"/>
      <c r="C357" s="53"/>
      <c r="D357" s="54"/>
      <c r="E357" s="52"/>
      <c r="F357" s="55" t="str">
        <f t="shared" si="0"/>
        <v/>
      </c>
      <c r="G357" s="56" t="str">
        <f t="shared" si="1"/>
        <v/>
      </c>
      <c r="H357" s="55" t="str">
        <f t="shared" si="2"/>
        <v/>
      </c>
      <c r="I357" s="59"/>
      <c r="J357" s="59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90"/>
      <c r="B358" s="52"/>
      <c r="C358" s="53"/>
      <c r="D358" s="54"/>
      <c r="E358" s="52"/>
      <c r="F358" s="55" t="str">
        <f t="shared" si="0"/>
        <v/>
      </c>
      <c r="G358" s="56" t="str">
        <f t="shared" si="1"/>
        <v/>
      </c>
      <c r="H358" s="55" t="str">
        <f t="shared" si="2"/>
        <v/>
      </c>
      <c r="I358" s="59"/>
      <c r="J358" s="59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90"/>
      <c r="B359" s="52"/>
      <c r="C359" s="53"/>
      <c r="D359" s="54"/>
      <c r="E359" s="52"/>
      <c r="F359" s="55" t="str">
        <f t="shared" si="0"/>
        <v/>
      </c>
      <c r="G359" s="56" t="str">
        <f t="shared" si="1"/>
        <v/>
      </c>
      <c r="H359" s="55" t="str">
        <f t="shared" si="2"/>
        <v/>
      </c>
      <c r="I359" s="59"/>
      <c r="J359" s="59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90"/>
      <c r="B360" s="52"/>
      <c r="C360" s="53"/>
      <c r="D360" s="54"/>
      <c r="E360" s="52"/>
      <c r="F360" s="55" t="str">
        <f t="shared" si="0"/>
        <v/>
      </c>
      <c r="G360" s="56" t="str">
        <f t="shared" si="1"/>
        <v/>
      </c>
      <c r="H360" s="55" t="str">
        <f t="shared" si="2"/>
        <v/>
      </c>
      <c r="I360" s="59"/>
      <c r="J360" s="59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90"/>
      <c r="B361" s="52"/>
      <c r="C361" s="53"/>
      <c r="D361" s="54"/>
      <c r="E361" s="52"/>
      <c r="F361" s="55" t="str">
        <f t="shared" si="0"/>
        <v/>
      </c>
      <c r="G361" s="56" t="str">
        <f t="shared" si="1"/>
        <v/>
      </c>
      <c r="H361" s="55" t="str">
        <f t="shared" si="2"/>
        <v/>
      </c>
      <c r="I361" s="59"/>
      <c r="J361" s="59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90"/>
      <c r="B362" s="52"/>
      <c r="C362" s="53"/>
      <c r="D362" s="54"/>
      <c r="E362" s="52"/>
      <c r="F362" s="55" t="str">
        <f t="shared" si="0"/>
        <v/>
      </c>
      <c r="G362" s="56" t="str">
        <f t="shared" si="1"/>
        <v/>
      </c>
      <c r="H362" s="55" t="str">
        <f t="shared" si="2"/>
        <v/>
      </c>
      <c r="I362" s="59"/>
      <c r="J362" s="59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90"/>
      <c r="B363" s="52"/>
      <c r="C363" s="53"/>
      <c r="D363" s="54"/>
      <c r="E363" s="52"/>
      <c r="F363" s="55" t="str">
        <f t="shared" si="0"/>
        <v/>
      </c>
      <c r="G363" s="56" t="str">
        <f t="shared" si="1"/>
        <v/>
      </c>
      <c r="H363" s="55" t="str">
        <f t="shared" si="2"/>
        <v/>
      </c>
      <c r="I363" s="59"/>
      <c r="J363" s="59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90"/>
      <c r="B364" s="52"/>
      <c r="C364" s="53"/>
      <c r="D364" s="54"/>
      <c r="E364" s="52"/>
      <c r="F364" s="55" t="str">
        <f t="shared" si="0"/>
        <v/>
      </c>
      <c r="G364" s="56" t="str">
        <f t="shared" si="1"/>
        <v/>
      </c>
      <c r="H364" s="55" t="str">
        <f t="shared" si="2"/>
        <v/>
      </c>
      <c r="I364" s="59"/>
      <c r="J364" s="59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90"/>
      <c r="B365" s="52"/>
      <c r="C365" s="53"/>
      <c r="D365" s="54"/>
      <c r="E365" s="52"/>
      <c r="F365" s="55" t="str">
        <f t="shared" si="0"/>
        <v/>
      </c>
      <c r="G365" s="56" t="str">
        <f t="shared" si="1"/>
        <v/>
      </c>
      <c r="H365" s="55" t="str">
        <f t="shared" si="2"/>
        <v/>
      </c>
      <c r="I365" s="59"/>
      <c r="J365" s="59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90"/>
      <c r="B366" s="52"/>
      <c r="C366" s="53"/>
      <c r="D366" s="54"/>
      <c r="E366" s="52"/>
      <c r="F366" s="55" t="str">
        <f t="shared" si="0"/>
        <v/>
      </c>
      <c r="G366" s="56" t="str">
        <f t="shared" si="1"/>
        <v/>
      </c>
      <c r="H366" s="55" t="str">
        <f t="shared" si="2"/>
        <v/>
      </c>
      <c r="I366" s="59"/>
      <c r="J366" s="59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90"/>
      <c r="B367" s="52"/>
      <c r="C367" s="53"/>
      <c r="D367" s="54"/>
      <c r="E367" s="52"/>
      <c r="F367" s="55" t="str">
        <f t="shared" si="0"/>
        <v/>
      </c>
      <c r="G367" s="56" t="str">
        <f t="shared" si="1"/>
        <v/>
      </c>
      <c r="H367" s="55" t="str">
        <f t="shared" si="2"/>
        <v/>
      </c>
      <c r="I367" s="59"/>
      <c r="J367" s="59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90"/>
      <c r="B368" s="52"/>
      <c r="C368" s="53"/>
      <c r="D368" s="54"/>
      <c r="E368" s="52"/>
      <c r="F368" s="55" t="str">
        <f t="shared" si="0"/>
        <v/>
      </c>
      <c r="G368" s="56" t="str">
        <f t="shared" si="1"/>
        <v/>
      </c>
      <c r="H368" s="55" t="str">
        <f t="shared" si="2"/>
        <v/>
      </c>
      <c r="I368" s="59"/>
      <c r="J368" s="59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90"/>
      <c r="B369" s="52"/>
      <c r="C369" s="53"/>
      <c r="D369" s="54"/>
      <c r="E369" s="52"/>
      <c r="F369" s="55" t="str">
        <f t="shared" si="0"/>
        <v/>
      </c>
      <c r="G369" s="56" t="str">
        <f t="shared" si="1"/>
        <v/>
      </c>
      <c r="H369" s="55" t="str">
        <f t="shared" si="2"/>
        <v/>
      </c>
      <c r="I369" s="59"/>
      <c r="J369" s="59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90"/>
      <c r="B370" s="52"/>
      <c r="C370" s="53"/>
      <c r="D370" s="54"/>
      <c r="E370" s="52"/>
      <c r="F370" s="55" t="str">
        <f t="shared" si="0"/>
        <v/>
      </c>
      <c r="G370" s="56" t="str">
        <f t="shared" si="1"/>
        <v/>
      </c>
      <c r="H370" s="55" t="str">
        <f t="shared" si="2"/>
        <v/>
      </c>
      <c r="I370" s="59"/>
      <c r="J370" s="59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90"/>
      <c r="B371" s="52"/>
      <c r="C371" s="53"/>
      <c r="D371" s="54"/>
      <c r="E371" s="52"/>
      <c r="F371" s="55" t="str">
        <f t="shared" si="0"/>
        <v/>
      </c>
      <c r="G371" s="56" t="str">
        <f t="shared" si="1"/>
        <v/>
      </c>
      <c r="H371" s="55" t="str">
        <f t="shared" si="2"/>
        <v/>
      </c>
      <c r="I371" s="59"/>
      <c r="J371" s="59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90"/>
      <c r="B372" s="52"/>
      <c r="C372" s="53"/>
      <c r="D372" s="54"/>
      <c r="E372" s="52"/>
      <c r="F372" s="55" t="str">
        <f t="shared" si="0"/>
        <v/>
      </c>
      <c r="G372" s="56" t="str">
        <f t="shared" si="1"/>
        <v/>
      </c>
      <c r="H372" s="55" t="str">
        <f t="shared" si="2"/>
        <v/>
      </c>
      <c r="I372" s="59"/>
      <c r="J372" s="59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90"/>
      <c r="B373" s="52"/>
      <c r="C373" s="53"/>
      <c r="D373" s="54"/>
      <c r="E373" s="52"/>
      <c r="F373" s="55" t="str">
        <f t="shared" si="0"/>
        <v/>
      </c>
      <c r="G373" s="56" t="str">
        <f t="shared" si="1"/>
        <v/>
      </c>
      <c r="H373" s="55" t="str">
        <f t="shared" si="2"/>
        <v/>
      </c>
      <c r="I373" s="59"/>
      <c r="J373" s="59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90"/>
      <c r="B374" s="52"/>
      <c r="C374" s="53"/>
      <c r="D374" s="54"/>
      <c r="E374" s="52"/>
      <c r="F374" s="55" t="str">
        <f t="shared" si="0"/>
        <v/>
      </c>
      <c r="G374" s="56" t="str">
        <f t="shared" si="1"/>
        <v/>
      </c>
      <c r="H374" s="55" t="str">
        <f t="shared" si="2"/>
        <v/>
      </c>
      <c r="I374" s="59"/>
      <c r="J374" s="59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90"/>
      <c r="B375" s="52"/>
      <c r="C375" s="53"/>
      <c r="D375" s="54"/>
      <c r="E375" s="52"/>
      <c r="F375" s="55" t="str">
        <f t="shared" si="0"/>
        <v/>
      </c>
      <c r="G375" s="56" t="str">
        <f t="shared" si="1"/>
        <v/>
      </c>
      <c r="H375" s="55" t="str">
        <f t="shared" si="2"/>
        <v/>
      </c>
      <c r="I375" s="59"/>
      <c r="J375" s="59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90"/>
      <c r="B376" s="52"/>
      <c r="C376" s="53"/>
      <c r="D376" s="54"/>
      <c r="E376" s="52"/>
      <c r="F376" s="55" t="str">
        <f t="shared" si="0"/>
        <v/>
      </c>
      <c r="G376" s="56" t="str">
        <f t="shared" si="1"/>
        <v/>
      </c>
      <c r="H376" s="55" t="str">
        <f t="shared" si="2"/>
        <v/>
      </c>
      <c r="I376" s="59"/>
      <c r="J376" s="59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90"/>
      <c r="B377" s="52"/>
      <c r="C377" s="53"/>
      <c r="D377" s="54"/>
      <c r="E377" s="52"/>
      <c r="F377" s="55" t="str">
        <f t="shared" si="0"/>
        <v/>
      </c>
      <c r="G377" s="56" t="str">
        <f t="shared" si="1"/>
        <v/>
      </c>
      <c r="H377" s="55" t="str">
        <f t="shared" si="2"/>
        <v/>
      </c>
      <c r="I377" s="59"/>
      <c r="J377" s="59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90"/>
      <c r="B378" s="52"/>
      <c r="C378" s="53"/>
      <c r="D378" s="54"/>
      <c r="E378" s="52"/>
      <c r="F378" s="55" t="str">
        <f t="shared" si="0"/>
        <v/>
      </c>
      <c r="G378" s="56" t="str">
        <f t="shared" si="1"/>
        <v/>
      </c>
      <c r="H378" s="55" t="str">
        <f t="shared" si="2"/>
        <v/>
      </c>
      <c r="I378" s="59"/>
      <c r="J378" s="59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90"/>
      <c r="B379" s="52"/>
      <c r="C379" s="53"/>
      <c r="D379" s="54"/>
      <c r="E379" s="52"/>
      <c r="F379" s="55" t="str">
        <f t="shared" si="0"/>
        <v/>
      </c>
      <c r="G379" s="56" t="str">
        <f t="shared" si="1"/>
        <v/>
      </c>
      <c r="H379" s="55" t="str">
        <f t="shared" si="2"/>
        <v/>
      </c>
      <c r="I379" s="59"/>
      <c r="J379" s="59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90"/>
      <c r="B380" s="52"/>
      <c r="C380" s="53"/>
      <c r="D380" s="54"/>
      <c r="E380" s="52"/>
      <c r="F380" s="55" t="str">
        <f t="shared" si="0"/>
        <v/>
      </c>
      <c r="G380" s="56" t="str">
        <f t="shared" si="1"/>
        <v/>
      </c>
      <c r="H380" s="55" t="str">
        <f t="shared" si="2"/>
        <v/>
      </c>
      <c r="I380" s="59"/>
      <c r="J380" s="59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90"/>
      <c r="B381" s="52"/>
      <c r="C381" s="53"/>
      <c r="D381" s="54"/>
      <c r="E381" s="52"/>
      <c r="F381" s="55" t="str">
        <f t="shared" si="0"/>
        <v/>
      </c>
      <c r="G381" s="56" t="str">
        <f t="shared" si="1"/>
        <v/>
      </c>
      <c r="H381" s="55" t="str">
        <f t="shared" si="2"/>
        <v/>
      </c>
      <c r="I381" s="59"/>
      <c r="J381" s="59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90"/>
      <c r="B382" s="52"/>
      <c r="C382" s="53"/>
      <c r="D382" s="54"/>
      <c r="E382" s="52"/>
      <c r="F382" s="55" t="str">
        <f t="shared" si="0"/>
        <v/>
      </c>
      <c r="G382" s="56" t="str">
        <f t="shared" si="1"/>
        <v/>
      </c>
      <c r="H382" s="55" t="str">
        <f t="shared" si="2"/>
        <v/>
      </c>
      <c r="I382" s="59"/>
      <c r="J382" s="59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90"/>
      <c r="B383" s="52"/>
      <c r="C383" s="53"/>
      <c r="D383" s="54"/>
      <c r="E383" s="52"/>
      <c r="F383" s="55" t="str">
        <f t="shared" si="0"/>
        <v/>
      </c>
      <c r="G383" s="56" t="str">
        <f t="shared" si="1"/>
        <v/>
      </c>
      <c r="H383" s="55" t="str">
        <f t="shared" si="2"/>
        <v/>
      </c>
      <c r="I383" s="59"/>
      <c r="J383" s="59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90"/>
      <c r="B384" s="52"/>
      <c r="C384" s="53"/>
      <c r="D384" s="54"/>
      <c r="E384" s="52"/>
      <c r="F384" s="55" t="str">
        <f t="shared" si="0"/>
        <v/>
      </c>
      <c r="G384" s="56" t="str">
        <f t="shared" si="1"/>
        <v/>
      </c>
      <c r="H384" s="55" t="str">
        <f t="shared" si="2"/>
        <v/>
      </c>
      <c r="I384" s="59"/>
      <c r="J384" s="59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90"/>
      <c r="B385" s="52"/>
      <c r="C385" s="53"/>
      <c r="D385" s="54"/>
      <c r="E385" s="52"/>
      <c r="F385" s="55" t="str">
        <f t="shared" si="0"/>
        <v/>
      </c>
      <c r="G385" s="56" t="str">
        <f t="shared" si="1"/>
        <v/>
      </c>
      <c r="H385" s="55" t="str">
        <f t="shared" si="2"/>
        <v/>
      </c>
      <c r="I385" s="59"/>
      <c r="J385" s="59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90"/>
      <c r="B386" s="52"/>
      <c r="C386" s="53"/>
      <c r="D386" s="54"/>
      <c r="E386" s="52"/>
      <c r="F386" s="55" t="str">
        <f t="shared" si="0"/>
        <v/>
      </c>
      <c r="G386" s="56" t="str">
        <f t="shared" si="1"/>
        <v/>
      </c>
      <c r="H386" s="55" t="str">
        <f t="shared" si="2"/>
        <v/>
      </c>
      <c r="I386" s="59"/>
      <c r="J386" s="59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90"/>
      <c r="B387" s="52"/>
      <c r="C387" s="53"/>
      <c r="D387" s="54"/>
      <c r="E387" s="52"/>
      <c r="F387" s="55" t="str">
        <f t="shared" si="0"/>
        <v/>
      </c>
      <c r="G387" s="56" t="str">
        <f t="shared" si="1"/>
        <v/>
      </c>
      <c r="H387" s="55" t="str">
        <f t="shared" si="2"/>
        <v/>
      </c>
      <c r="I387" s="59"/>
      <c r="J387" s="59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90"/>
      <c r="B388" s="52"/>
      <c r="C388" s="53"/>
      <c r="D388" s="54"/>
      <c r="E388" s="52"/>
      <c r="F388" s="55" t="str">
        <f t="shared" si="0"/>
        <v/>
      </c>
      <c r="G388" s="56" t="str">
        <f t="shared" si="1"/>
        <v/>
      </c>
      <c r="H388" s="55" t="str">
        <f t="shared" si="2"/>
        <v/>
      </c>
      <c r="I388" s="59"/>
      <c r="J388" s="59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90"/>
      <c r="B389" s="52"/>
      <c r="C389" s="53"/>
      <c r="D389" s="54"/>
      <c r="E389" s="52"/>
      <c r="F389" s="55" t="str">
        <f t="shared" si="0"/>
        <v/>
      </c>
      <c r="G389" s="56" t="str">
        <f t="shared" si="1"/>
        <v/>
      </c>
      <c r="H389" s="55" t="str">
        <f t="shared" si="2"/>
        <v/>
      </c>
      <c r="I389" s="59"/>
      <c r="J389" s="59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90"/>
      <c r="B390" s="52"/>
      <c r="C390" s="53"/>
      <c r="D390" s="54"/>
      <c r="E390" s="52"/>
      <c r="F390" s="55" t="str">
        <f t="shared" si="0"/>
        <v/>
      </c>
      <c r="G390" s="56" t="str">
        <f t="shared" si="1"/>
        <v/>
      </c>
      <c r="H390" s="55" t="str">
        <f t="shared" si="2"/>
        <v/>
      </c>
      <c r="I390" s="59"/>
      <c r="J390" s="59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90"/>
      <c r="B391" s="52"/>
      <c r="C391" s="53"/>
      <c r="D391" s="54"/>
      <c r="E391" s="52"/>
      <c r="F391" s="55" t="str">
        <f t="shared" si="0"/>
        <v/>
      </c>
      <c r="G391" s="56" t="str">
        <f t="shared" si="1"/>
        <v/>
      </c>
      <c r="H391" s="55" t="str">
        <f t="shared" si="2"/>
        <v/>
      </c>
      <c r="I391" s="59"/>
      <c r="J391" s="59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90"/>
      <c r="B392" s="52"/>
      <c r="C392" s="53"/>
      <c r="D392" s="54"/>
      <c r="E392" s="52"/>
      <c r="F392" s="55" t="str">
        <f t="shared" si="0"/>
        <v/>
      </c>
      <c r="G392" s="56" t="str">
        <f t="shared" si="1"/>
        <v/>
      </c>
      <c r="H392" s="55" t="str">
        <f t="shared" si="2"/>
        <v/>
      </c>
      <c r="I392" s="59"/>
      <c r="J392" s="59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90"/>
      <c r="B393" s="52"/>
      <c r="C393" s="53"/>
      <c r="D393" s="54"/>
      <c r="E393" s="52"/>
      <c r="F393" s="55" t="str">
        <f t="shared" si="0"/>
        <v/>
      </c>
      <c r="G393" s="56" t="str">
        <f t="shared" si="1"/>
        <v/>
      </c>
      <c r="H393" s="55" t="str">
        <f t="shared" si="2"/>
        <v/>
      </c>
      <c r="I393" s="59"/>
      <c r="J393" s="59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90"/>
      <c r="B394" s="52"/>
      <c r="C394" s="53"/>
      <c r="D394" s="54"/>
      <c r="E394" s="52"/>
      <c r="F394" s="55" t="str">
        <f t="shared" si="0"/>
        <v/>
      </c>
      <c r="G394" s="56" t="str">
        <f t="shared" si="1"/>
        <v/>
      </c>
      <c r="H394" s="55" t="str">
        <f t="shared" si="2"/>
        <v/>
      </c>
      <c r="I394" s="59"/>
      <c r="J394" s="59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90"/>
      <c r="B395" s="52"/>
      <c r="C395" s="53"/>
      <c r="D395" s="54"/>
      <c r="E395" s="52"/>
      <c r="F395" s="55" t="str">
        <f t="shared" si="0"/>
        <v/>
      </c>
      <c r="G395" s="56" t="str">
        <f t="shared" si="1"/>
        <v/>
      </c>
      <c r="H395" s="55" t="str">
        <f t="shared" si="2"/>
        <v/>
      </c>
      <c r="I395" s="59"/>
      <c r="J395" s="59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90"/>
      <c r="B396" s="52"/>
      <c r="C396" s="53"/>
      <c r="D396" s="54"/>
      <c r="E396" s="52"/>
      <c r="F396" s="55" t="str">
        <f t="shared" si="0"/>
        <v/>
      </c>
      <c r="G396" s="56" t="str">
        <f t="shared" si="1"/>
        <v/>
      </c>
      <c r="H396" s="55" t="str">
        <f t="shared" si="2"/>
        <v/>
      </c>
      <c r="I396" s="59"/>
      <c r="J396" s="59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90"/>
      <c r="B397" s="52"/>
      <c r="C397" s="53"/>
      <c r="D397" s="54"/>
      <c r="E397" s="52"/>
      <c r="F397" s="55" t="str">
        <f t="shared" si="0"/>
        <v/>
      </c>
      <c r="G397" s="56" t="str">
        <f t="shared" si="1"/>
        <v/>
      </c>
      <c r="H397" s="55" t="str">
        <f t="shared" si="2"/>
        <v/>
      </c>
      <c r="I397" s="59"/>
      <c r="J397" s="59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90"/>
      <c r="B398" s="52"/>
      <c r="C398" s="53"/>
      <c r="D398" s="54"/>
      <c r="E398" s="52"/>
      <c r="F398" s="55" t="str">
        <f t="shared" si="0"/>
        <v/>
      </c>
      <c r="G398" s="56" t="str">
        <f t="shared" si="1"/>
        <v/>
      </c>
      <c r="H398" s="55" t="str">
        <f t="shared" si="2"/>
        <v/>
      </c>
      <c r="I398" s="59"/>
      <c r="J398" s="59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90"/>
      <c r="B399" s="52"/>
      <c r="C399" s="53"/>
      <c r="D399" s="54"/>
      <c r="E399" s="52"/>
      <c r="F399" s="55" t="str">
        <f t="shared" si="0"/>
        <v/>
      </c>
      <c r="G399" s="56" t="str">
        <f t="shared" si="1"/>
        <v/>
      </c>
      <c r="H399" s="55" t="str">
        <f t="shared" si="2"/>
        <v/>
      </c>
      <c r="I399" s="59"/>
      <c r="J399" s="59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90"/>
      <c r="B400" s="52"/>
      <c r="C400" s="53"/>
      <c r="D400" s="54"/>
      <c r="E400" s="52"/>
      <c r="F400" s="55" t="str">
        <f t="shared" si="0"/>
        <v/>
      </c>
      <c r="G400" s="56" t="str">
        <f t="shared" si="1"/>
        <v/>
      </c>
      <c r="H400" s="55" t="str">
        <f t="shared" si="2"/>
        <v/>
      </c>
      <c r="I400" s="59"/>
      <c r="J400" s="59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90"/>
      <c r="B401" s="52"/>
      <c r="C401" s="53"/>
      <c r="D401" s="54"/>
      <c r="E401" s="52"/>
      <c r="F401" s="55" t="str">
        <f t="shared" si="0"/>
        <v/>
      </c>
      <c r="G401" s="56" t="str">
        <f t="shared" si="1"/>
        <v/>
      </c>
      <c r="H401" s="55" t="str">
        <f t="shared" si="2"/>
        <v/>
      </c>
      <c r="I401" s="59"/>
      <c r="J401" s="59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90"/>
      <c r="B402" s="52"/>
      <c r="C402" s="53"/>
      <c r="D402" s="54"/>
      <c r="E402" s="52"/>
      <c r="F402" s="55" t="str">
        <f t="shared" si="0"/>
        <v/>
      </c>
      <c r="G402" s="56" t="str">
        <f t="shared" si="1"/>
        <v/>
      </c>
      <c r="H402" s="55" t="str">
        <f t="shared" si="2"/>
        <v/>
      </c>
      <c r="I402" s="59"/>
      <c r="J402" s="59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90"/>
      <c r="B403" s="52"/>
      <c r="C403" s="53"/>
      <c r="D403" s="54"/>
      <c r="E403" s="52"/>
      <c r="F403" s="55" t="str">
        <f t="shared" si="0"/>
        <v/>
      </c>
      <c r="G403" s="56" t="str">
        <f t="shared" si="1"/>
        <v/>
      </c>
      <c r="H403" s="55" t="str">
        <f t="shared" si="2"/>
        <v/>
      </c>
      <c r="I403" s="59"/>
      <c r="J403" s="59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90"/>
      <c r="B404" s="52"/>
      <c r="C404" s="53"/>
      <c r="D404" s="54"/>
      <c r="E404" s="52"/>
      <c r="F404" s="55" t="str">
        <f t="shared" si="0"/>
        <v/>
      </c>
      <c r="G404" s="56" t="str">
        <f t="shared" si="1"/>
        <v/>
      </c>
      <c r="H404" s="55" t="str">
        <f t="shared" si="2"/>
        <v/>
      </c>
      <c r="I404" s="59"/>
      <c r="J404" s="59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90"/>
      <c r="B405" s="52"/>
      <c r="C405" s="53"/>
      <c r="D405" s="54"/>
      <c r="E405" s="52"/>
      <c r="F405" s="55" t="str">
        <f t="shared" si="0"/>
        <v/>
      </c>
      <c r="G405" s="56" t="str">
        <f t="shared" si="1"/>
        <v/>
      </c>
      <c r="H405" s="55" t="str">
        <f t="shared" si="2"/>
        <v/>
      </c>
      <c r="I405" s="59"/>
      <c r="J405" s="59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90"/>
      <c r="B406" s="52"/>
      <c r="C406" s="53"/>
      <c r="D406" s="54"/>
      <c r="E406" s="52"/>
      <c r="F406" s="55" t="str">
        <f t="shared" si="0"/>
        <v/>
      </c>
      <c r="G406" s="56" t="str">
        <f t="shared" si="1"/>
        <v/>
      </c>
      <c r="H406" s="55" t="str">
        <f t="shared" si="2"/>
        <v/>
      </c>
      <c r="I406" s="59"/>
      <c r="J406" s="59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90"/>
      <c r="B407" s="52"/>
      <c r="C407" s="53"/>
      <c r="D407" s="54"/>
      <c r="E407" s="52"/>
      <c r="F407" s="55" t="str">
        <f t="shared" si="0"/>
        <v/>
      </c>
      <c r="G407" s="56" t="str">
        <f t="shared" si="1"/>
        <v/>
      </c>
      <c r="H407" s="55" t="str">
        <f t="shared" si="2"/>
        <v/>
      </c>
      <c r="I407" s="59"/>
      <c r="J407" s="59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90"/>
      <c r="B408" s="52"/>
      <c r="C408" s="53"/>
      <c r="D408" s="54"/>
      <c r="E408" s="52"/>
      <c r="F408" s="55" t="str">
        <f t="shared" si="0"/>
        <v/>
      </c>
      <c r="G408" s="56" t="str">
        <f t="shared" si="1"/>
        <v/>
      </c>
      <c r="H408" s="55" t="str">
        <f t="shared" si="2"/>
        <v/>
      </c>
      <c r="I408" s="59"/>
      <c r="J408" s="59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90"/>
      <c r="B409" s="52"/>
      <c r="C409" s="53"/>
      <c r="D409" s="54"/>
      <c r="E409" s="52"/>
      <c r="F409" s="55" t="str">
        <f t="shared" si="0"/>
        <v/>
      </c>
      <c r="G409" s="56" t="str">
        <f t="shared" si="1"/>
        <v/>
      </c>
      <c r="H409" s="55" t="str">
        <f t="shared" si="2"/>
        <v/>
      </c>
      <c r="I409" s="59"/>
      <c r="J409" s="59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90"/>
      <c r="B410" s="52"/>
      <c r="C410" s="53"/>
      <c r="D410" s="54"/>
      <c r="E410" s="52"/>
      <c r="F410" s="55" t="str">
        <f t="shared" si="0"/>
        <v/>
      </c>
      <c r="G410" s="56" t="str">
        <f t="shared" si="1"/>
        <v/>
      </c>
      <c r="H410" s="55" t="str">
        <f t="shared" si="2"/>
        <v/>
      </c>
      <c r="I410" s="59"/>
      <c r="J410" s="59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90"/>
      <c r="B411" s="52"/>
      <c r="C411" s="53"/>
      <c r="D411" s="54"/>
      <c r="E411" s="52"/>
      <c r="F411" s="55" t="str">
        <f t="shared" si="0"/>
        <v/>
      </c>
      <c r="G411" s="56" t="str">
        <f t="shared" si="1"/>
        <v/>
      </c>
      <c r="H411" s="55" t="str">
        <f t="shared" si="2"/>
        <v/>
      </c>
      <c r="I411" s="59"/>
      <c r="J411" s="59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90"/>
      <c r="B412" s="52"/>
      <c r="C412" s="53"/>
      <c r="D412" s="54"/>
      <c r="E412" s="52"/>
      <c r="F412" s="55" t="str">
        <f t="shared" si="0"/>
        <v/>
      </c>
      <c r="G412" s="56" t="str">
        <f t="shared" si="1"/>
        <v/>
      </c>
      <c r="H412" s="55" t="str">
        <f t="shared" si="2"/>
        <v/>
      </c>
      <c r="I412" s="59"/>
      <c r="J412" s="59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90"/>
      <c r="B413" s="52"/>
      <c r="C413" s="53"/>
      <c r="D413" s="54"/>
      <c r="E413" s="52"/>
      <c r="F413" s="55" t="str">
        <f t="shared" si="0"/>
        <v/>
      </c>
      <c r="G413" s="56" t="str">
        <f t="shared" si="1"/>
        <v/>
      </c>
      <c r="H413" s="55" t="str">
        <f t="shared" si="2"/>
        <v/>
      </c>
      <c r="I413" s="59"/>
      <c r="J413" s="59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90"/>
      <c r="B414" s="52"/>
      <c r="C414" s="53"/>
      <c r="D414" s="54"/>
      <c r="E414" s="52"/>
      <c r="F414" s="55" t="str">
        <f t="shared" si="0"/>
        <v/>
      </c>
      <c r="G414" s="56" t="str">
        <f t="shared" si="1"/>
        <v/>
      </c>
      <c r="H414" s="55" t="str">
        <f t="shared" si="2"/>
        <v/>
      </c>
      <c r="I414" s="59"/>
      <c r="J414" s="59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90"/>
      <c r="B415" s="52"/>
      <c r="C415" s="53"/>
      <c r="D415" s="54"/>
      <c r="E415" s="52"/>
      <c r="F415" s="55" t="str">
        <f t="shared" si="0"/>
        <v/>
      </c>
      <c r="G415" s="56" t="str">
        <f t="shared" si="1"/>
        <v/>
      </c>
      <c r="H415" s="55" t="str">
        <f t="shared" si="2"/>
        <v/>
      </c>
      <c r="I415" s="59"/>
      <c r="J415" s="59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90"/>
      <c r="B416" s="52"/>
      <c r="C416" s="53"/>
      <c r="D416" s="54"/>
      <c r="E416" s="52"/>
      <c r="F416" s="55" t="str">
        <f t="shared" si="0"/>
        <v/>
      </c>
      <c r="G416" s="56" t="str">
        <f t="shared" si="1"/>
        <v/>
      </c>
      <c r="H416" s="55" t="str">
        <f t="shared" si="2"/>
        <v/>
      </c>
      <c r="I416" s="59"/>
      <c r="J416" s="59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90"/>
      <c r="B417" s="52"/>
      <c r="C417" s="53"/>
      <c r="D417" s="54"/>
      <c r="E417" s="52"/>
      <c r="F417" s="55" t="str">
        <f t="shared" si="0"/>
        <v/>
      </c>
      <c r="G417" s="56" t="str">
        <f t="shared" si="1"/>
        <v/>
      </c>
      <c r="H417" s="55" t="str">
        <f t="shared" si="2"/>
        <v/>
      </c>
      <c r="I417" s="59"/>
      <c r="J417" s="59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90"/>
      <c r="B418" s="52"/>
      <c r="C418" s="53"/>
      <c r="D418" s="54"/>
      <c r="E418" s="52"/>
      <c r="F418" s="55" t="str">
        <f t="shared" si="0"/>
        <v/>
      </c>
      <c r="G418" s="56" t="str">
        <f t="shared" si="1"/>
        <v/>
      </c>
      <c r="H418" s="55" t="str">
        <f t="shared" si="2"/>
        <v/>
      </c>
      <c r="I418" s="59"/>
      <c r="J418" s="59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90"/>
      <c r="B419" s="52"/>
      <c r="C419" s="53"/>
      <c r="D419" s="54"/>
      <c r="E419" s="52"/>
      <c r="F419" s="55" t="str">
        <f t="shared" si="0"/>
        <v/>
      </c>
      <c r="G419" s="56" t="str">
        <f t="shared" si="1"/>
        <v/>
      </c>
      <c r="H419" s="55" t="str">
        <f t="shared" si="2"/>
        <v/>
      </c>
      <c r="I419" s="59"/>
      <c r="J419" s="59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90"/>
      <c r="B420" s="52"/>
      <c r="C420" s="53"/>
      <c r="D420" s="54"/>
      <c r="E420" s="52"/>
      <c r="F420" s="55" t="str">
        <f t="shared" si="0"/>
        <v/>
      </c>
      <c r="G420" s="56" t="str">
        <f t="shared" si="1"/>
        <v/>
      </c>
      <c r="H420" s="55" t="str">
        <f t="shared" si="2"/>
        <v/>
      </c>
      <c r="I420" s="59"/>
      <c r="J420" s="59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90"/>
      <c r="B421" s="52"/>
      <c r="C421" s="53"/>
      <c r="D421" s="54"/>
      <c r="E421" s="52"/>
      <c r="F421" s="55" t="str">
        <f t="shared" si="0"/>
        <v/>
      </c>
      <c r="G421" s="56" t="str">
        <f t="shared" si="1"/>
        <v/>
      </c>
      <c r="H421" s="55" t="str">
        <f t="shared" si="2"/>
        <v/>
      </c>
      <c r="I421" s="59"/>
      <c r="J421" s="59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90"/>
      <c r="B422" s="52"/>
      <c r="C422" s="53"/>
      <c r="D422" s="54"/>
      <c r="E422" s="52"/>
      <c r="F422" s="55" t="str">
        <f t="shared" si="0"/>
        <v/>
      </c>
      <c r="G422" s="56" t="str">
        <f t="shared" si="1"/>
        <v/>
      </c>
      <c r="H422" s="55" t="str">
        <f t="shared" si="2"/>
        <v/>
      </c>
      <c r="I422" s="59"/>
      <c r="J422" s="59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90"/>
      <c r="B423" s="52"/>
      <c r="C423" s="53"/>
      <c r="D423" s="54"/>
      <c r="E423" s="52"/>
      <c r="F423" s="55" t="str">
        <f t="shared" si="0"/>
        <v/>
      </c>
      <c r="G423" s="56" t="str">
        <f t="shared" si="1"/>
        <v/>
      </c>
      <c r="H423" s="55" t="str">
        <f t="shared" si="2"/>
        <v/>
      </c>
      <c r="I423" s="59"/>
      <c r="J423" s="59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90"/>
      <c r="B424" s="52"/>
      <c r="C424" s="53"/>
      <c r="D424" s="54"/>
      <c r="E424" s="52"/>
      <c r="F424" s="55" t="str">
        <f t="shared" si="0"/>
        <v/>
      </c>
      <c r="G424" s="56" t="str">
        <f t="shared" si="1"/>
        <v/>
      </c>
      <c r="H424" s="55" t="str">
        <f t="shared" si="2"/>
        <v/>
      </c>
      <c r="I424" s="59"/>
      <c r="J424" s="59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90"/>
      <c r="B425" s="52"/>
      <c r="C425" s="53"/>
      <c r="D425" s="54"/>
      <c r="E425" s="52"/>
      <c r="F425" s="55" t="str">
        <f t="shared" si="0"/>
        <v/>
      </c>
      <c r="G425" s="56" t="str">
        <f t="shared" si="1"/>
        <v/>
      </c>
      <c r="H425" s="55" t="str">
        <f t="shared" si="2"/>
        <v/>
      </c>
      <c r="I425" s="59"/>
      <c r="J425" s="59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90"/>
      <c r="B426" s="52"/>
      <c r="C426" s="53"/>
      <c r="D426" s="54"/>
      <c r="E426" s="52"/>
      <c r="F426" s="55" t="str">
        <f t="shared" si="0"/>
        <v/>
      </c>
      <c r="G426" s="56" t="str">
        <f t="shared" si="1"/>
        <v/>
      </c>
      <c r="H426" s="55" t="str">
        <f t="shared" si="2"/>
        <v/>
      </c>
      <c r="I426" s="59"/>
      <c r="J426" s="59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90"/>
      <c r="B427" s="52"/>
      <c r="C427" s="53"/>
      <c r="D427" s="54"/>
      <c r="E427" s="52"/>
      <c r="F427" s="55" t="str">
        <f t="shared" si="0"/>
        <v/>
      </c>
      <c r="G427" s="56" t="str">
        <f t="shared" si="1"/>
        <v/>
      </c>
      <c r="H427" s="55" t="str">
        <f t="shared" si="2"/>
        <v/>
      </c>
      <c r="I427" s="59"/>
      <c r="J427" s="59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90"/>
      <c r="B428" s="52"/>
      <c r="C428" s="53"/>
      <c r="D428" s="54"/>
      <c r="E428" s="52"/>
      <c r="F428" s="55" t="str">
        <f t="shared" si="0"/>
        <v/>
      </c>
      <c r="G428" s="56" t="str">
        <f t="shared" si="1"/>
        <v/>
      </c>
      <c r="H428" s="55" t="str">
        <f t="shared" si="2"/>
        <v/>
      </c>
      <c r="I428" s="59"/>
      <c r="J428" s="59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90"/>
      <c r="B429" s="52"/>
      <c r="C429" s="53"/>
      <c r="D429" s="54"/>
      <c r="E429" s="52"/>
      <c r="F429" s="55" t="str">
        <f t="shared" si="0"/>
        <v/>
      </c>
      <c r="G429" s="56" t="str">
        <f t="shared" si="1"/>
        <v/>
      </c>
      <c r="H429" s="55" t="str">
        <f t="shared" si="2"/>
        <v/>
      </c>
      <c r="I429" s="59"/>
      <c r="J429" s="59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90"/>
      <c r="B430" s="52"/>
      <c r="C430" s="53"/>
      <c r="D430" s="54"/>
      <c r="E430" s="52"/>
      <c r="F430" s="55" t="str">
        <f t="shared" si="0"/>
        <v/>
      </c>
      <c r="G430" s="56" t="str">
        <f t="shared" si="1"/>
        <v/>
      </c>
      <c r="H430" s="55" t="str">
        <f t="shared" si="2"/>
        <v/>
      </c>
      <c r="I430" s="59"/>
      <c r="J430" s="59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90"/>
      <c r="B431" s="52"/>
      <c r="C431" s="53"/>
      <c r="D431" s="54"/>
      <c r="E431" s="52"/>
      <c r="F431" s="55" t="str">
        <f t="shared" si="0"/>
        <v/>
      </c>
      <c r="G431" s="56" t="str">
        <f t="shared" si="1"/>
        <v/>
      </c>
      <c r="H431" s="55" t="str">
        <f t="shared" si="2"/>
        <v/>
      </c>
      <c r="I431" s="59"/>
      <c r="J431" s="59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90"/>
      <c r="B432" s="52"/>
      <c r="C432" s="53"/>
      <c r="D432" s="54"/>
      <c r="E432" s="52"/>
      <c r="F432" s="55" t="str">
        <f t="shared" si="0"/>
        <v/>
      </c>
      <c r="G432" s="56" t="str">
        <f t="shared" si="1"/>
        <v/>
      </c>
      <c r="H432" s="55" t="str">
        <f t="shared" si="2"/>
        <v/>
      </c>
      <c r="I432" s="59"/>
      <c r="J432" s="59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90"/>
      <c r="B433" s="52"/>
      <c r="C433" s="53"/>
      <c r="D433" s="54"/>
      <c r="E433" s="52"/>
      <c r="F433" s="55" t="str">
        <f t="shared" si="0"/>
        <v/>
      </c>
      <c r="G433" s="56" t="str">
        <f t="shared" si="1"/>
        <v/>
      </c>
      <c r="H433" s="55" t="str">
        <f t="shared" si="2"/>
        <v/>
      </c>
      <c r="I433" s="59"/>
      <c r="J433" s="59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90"/>
      <c r="B434" s="52"/>
      <c r="C434" s="53"/>
      <c r="D434" s="54"/>
      <c r="E434" s="52"/>
      <c r="F434" s="55" t="str">
        <f t="shared" si="0"/>
        <v/>
      </c>
      <c r="G434" s="56" t="str">
        <f t="shared" si="1"/>
        <v/>
      </c>
      <c r="H434" s="55" t="str">
        <f t="shared" si="2"/>
        <v/>
      </c>
      <c r="I434" s="59"/>
      <c r="J434" s="59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90"/>
      <c r="B435" s="52"/>
      <c r="C435" s="53"/>
      <c r="D435" s="54"/>
      <c r="E435" s="52"/>
      <c r="F435" s="55" t="str">
        <f t="shared" si="0"/>
        <v/>
      </c>
      <c r="G435" s="56" t="str">
        <f t="shared" si="1"/>
        <v/>
      </c>
      <c r="H435" s="55" t="str">
        <f t="shared" si="2"/>
        <v/>
      </c>
      <c r="I435" s="59"/>
      <c r="J435" s="59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90"/>
      <c r="B436" s="52"/>
      <c r="C436" s="53"/>
      <c r="D436" s="54"/>
      <c r="E436" s="52"/>
      <c r="F436" s="55" t="str">
        <f t="shared" si="0"/>
        <v/>
      </c>
      <c r="G436" s="56" t="str">
        <f t="shared" si="1"/>
        <v/>
      </c>
      <c r="H436" s="55" t="str">
        <f t="shared" si="2"/>
        <v/>
      </c>
      <c r="I436" s="59"/>
      <c r="J436" s="59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90"/>
      <c r="B437" s="52"/>
      <c r="C437" s="53"/>
      <c r="D437" s="54"/>
      <c r="E437" s="52"/>
      <c r="F437" s="55" t="str">
        <f t="shared" si="0"/>
        <v/>
      </c>
      <c r="G437" s="56" t="str">
        <f t="shared" si="1"/>
        <v/>
      </c>
      <c r="H437" s="55" t="str">
        <f t="shared" si="2"/>
        <v/>
      </c>
      <c r="I437" s="59"/>
      <c r="J437" s="59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90"/>
      <c r="B438" s="52"/>
      <c r="C438" s="53"/>
      <c r="D438" s="54"/>
      <c r="E438" s="52"/>
      <c r="F438" s="55" t="str">
        <f t="shared" si="0"/>
        <v/>
      </c>
      <c r="G438" s="56" t="str">
        <f t="shared" si="1"/>
        <v/>
      </c>
      <c r="H438" s="55" t="str">
        <f t="shared" si="2"/>
        <v/>
      </c>
      <c r="I438" s="59"/>
      <c r="J438" s="59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90"/>
      <c r="B439" s="52"/>
      <c r="C439" s="53"/>
      <c r="D439" s="54"/>
      <c r="E439" s="52"/>
      <c r="F439" s="55" t="str">
        <f t="shared" si="0"/>
        <v/>
      </c>
      <c r="G439" s="56" t="str">
        <f t="shared" si="1"/>
        <v/>
      </c>
      <c r="H439" s="55" t="str">
        <f t="shared" si="2"/>
        <v/>
      </c>
      <c r="I439" s="59"/>
      <c r="J439" s="59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90"/>
      <c r="B440" s="52"/>
      <c r="C440" s="53"/>
      <c r="D440" s="54"/>
      <c r="E440" s="52"/>
      <c r="F440" s="55" t="str">
        <f t="shared" si="0"/>
        <v/>
      </c>
      <c r="G440" s="56" t="str">
        <f t="shared" si="1"/>
        <v/>
      </c>
      <c r="H440" s="55" t="str">
        <f t="shared" si="2"/>
        <v/>
      </c>
      <c r="I440" s="59"/>
      <c r="J440" s="59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90"/>
      <c r="B441" s="52"/>
      <c r="C441" s="53"/>
      <c r="D441" s="54"/>
      <c r="E441" s="52"/>
      <c r="F441" s="55" t="str">
        <f t="shared" si="0"/>
        <v/>
      </c>
      <c r="G441" s="56" t="str">
        <f t="shared" si="1"/>
        <v/>
      </c>
      <c r="H441" s="55" t="str">
        <f t="shared" si="2"/>
        <v/>
      </c>
      <c r="I441" s="59"/>
      <c r="J441" s="59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90"/>
      <c r="B442" s="52"/>
      <c r="C442" s="53"/>
      <c r="D442" s="54"/>
      <c r="E442" s="52"/>
      <c r="F442" s="55" t="str">
        <f t="shared" si="0"/>
        <v/>
      </c>
      <c r="G442" s="56" t="str">
        <f t="shared" si="1"/>
        <v/>
      </c>
      <c r="H442" s="55" t="str">
        <f t="shared" si="2"/>
        <v/>
      </c>
      <c r="I442" s="59"/>
      <c r="J442" s="59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90"/>
      <c r="B443" s="52"/>
      <c r="C443" s="53"/>
      <c r="D443" s="54"/>
      <c r="E443" s="52"/>
      <c r="F443" s="55" t="str">
        <f t="shared" si="0"/>
        <v/>
      </c>
      <c r="G443" s="56" t="str">
        <f t="shared" si="1"/>
        <v/>
      </c>
      <c r="H443" s="55" t="str">
        <f t="shared" si="2"/>
        <v/>
      </c>
      <c r="I443" s="59"/>
      <c r="J443" s="59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90"/>
      <c r="B444" s="52"/>
      <c r="C444" s="53"/>
      <c r="D444" s="54"/>
      <c r="E444" s="52"/>
      <c r="F444" s="55" t="str">
        <f t="shared" si="0"/>
        <v/>
      </c>
      <c r="G444" s="56" t="str">
        <f t="shared" si="1"/>
        <v/>
      </c>
      <c r="H444" s="55" t="str">
        <f t="shared" si="2"/>
        <v/>
      </c>
      <c r="I444" s="59"/>
      <c r="J444" s="59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90"/>
      <c r="B445" s="52"/>
      <c r="C445" s="53"/>
      <c r="D445" s="54"/>
      <c r="E445" s="52"/>
      <c r="F445" s="55" t="str">
        <f t="shared" si="0"/>
        <v/>
      </c>
      <c r="G445" s="56" t="str">
        <f t="shared" si="1"/>
        <v/>
      </c>
      <c r="H445" s="55" t="str">
        <f t="shared" si="2"/>
        <v/>
      </c>
      <c r="I445" s="59"/>
      <c r="J445" s="59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90"/>
      <c r="B446" s="52"/>
      <c r="C446" s="53"/>
      <c r="D446" s="54"/>
      <c r="E446" s="52"/>
      <c r="F446" s="55" t="str">
        <f t="shared" si="0"/>
        <v/>
      </c>
      <c r="G446" s="56" t="str">
        <f t="shared" si="1"/>
        <v/>
      </c>
      <c r="H446" s="55" t="str">
        <f t="shared" si="2"/>
        <v/>
      </c>
      <c r="I446" s="59"/>
      <c r="J446" s="59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90"/>
      <c r="B447" s="52"/>
      <c r="C447" s="53"/>
      <c r="D447" s="54"/>
      <c r="E447" s="52"/>
      <c r="F447" s="55" t="str">
        <f t="shared" si="0"/>
        <v/>
      </c>
      <c r="G447" s="56" t="str">
        <f t="shared" si="1"/>
        <v/>
      </c>
      <c r="H447" s="55" t="str">
        <f t="shared" si="2"/>
        <v/>
      </c>
      <c r="I447" s="59"/>
      <c r="J447" s="59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90"/>
      <c r="B448" s="52"/>
      <c r="C448" s="53"/>
      <c r="D448" s="54"/>
      <c r="E448" s="52"/>
      <c r="F448" s="55" t="str">
        <f t="shared" si="0"/>
        <v/>
      </c>
      <c r="G448" s="56" t="str">
        <f t="shared" si="1"/>
        <v/>
      </c>
      <c r="H448" s="55" t="str">
        <f t="shared" si="2"/>
        <v/>
      </c>
      <c r="I448" s="59"/>
      <c r="J448" s="59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90"/>
      <c r="B449" s="52"/>
      <c r="C449" s="53"/>
      <c r="D449" s="54"/>
      <c r="E449" s="52"/>
      <c r="F449" s="55" t="str">
        <f t="shared" si="0"/>
        <v/>
      </c>
      <c r="G449" s="56" t="str">
        <f t="shared" si="1"/>
        <v/>
      </c>
      <c r="H449" s="55" t="str">
        <f t="shared" si="2"/>
        <v/>
      </c>
      <c r="I449" s="59"/>
      <c r="J449" s="59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90"/>
      <c r="B450" s="52"/>
      <c r="C450" s="53"/>
      <c r="D450" s="54"/>
      <c r="E450" s="52"/>
      <c r="F450" s="55" t="str">
        <f t="shared" si="0"/>
        <v/>
      </c>
      <c r="G450" s="56" t="str">
        <f t="shared" si="1"/>
        <v/>
      </c>
      <c r="H450" s="55" t="str">
        <f t="shared" si="2"/>
        <v/>
      </c>
      <c r="I450" s="59"/>
      <c r="J450" s="59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90"/>
      <c r="B451" s="52"/>
      <c r="C451" s="53"/>
      <c r="D451" s="54"/>
      <c r="E451" s="52"/>
      <c r="F451" s="55" t="str">
        <f t="shared" si="0"/>
        <v/>
      </c>
      <c r="G451" s="56" t="str">
        <f t="shared" si="1"/>
        <v/>
      </c>
      <c r="H451" s="55" t="str">
        <f t="shared" si="2"/>
        <v/>
      </c>
      <c r="I451" s="59"/>
      <c r="J451" s="59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90"/>
      <c r="B452" s="52"/>
      <c r="C452" s="53"/>
      <c r="D452" s="54"/>
      <c r="E452" s="52"/>
      <c r="F452" s="55" t="str">
        <f t="shared" si="0"/>
        <v/>
      </c>
      <c r="G452" s="56" t="str">
        <f t="shared" si="1"/>
        <v/>
      </c>
      <c r="H452" s="55" t="str">
        <f t="shared" si="2"/>
        <v/>
      </c>
      <c r="I452" s="59"/>
      <c r="J452" s="59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90"/>
      <c r="B453" s="52"/>
      <c r="C453" s="53"/>
      <c r="D453" s="54"/>
      <c r="E453" s="52"/>
      <c r="F453" s="55" t="str">
        <f t="shared" si="0"/>
        <v/>
      </c>
      <c r="G453" s="56" t="str">
        <f t="shared" si="1"/>
        <v/>
      </c>
      <c r="H453" s="55" t="str">
        <f t="shared" si="2"/>
        <v/>
      </c>
      <c r="I453" s="59"/>
      <c r="J453" s="59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90"/>
      <c r="B454" s="52"/>
      <c r="C454" s="53"/>
      <c r="D454" s="54"/>
      <c r="E454" s="52"/>
      <c r="F454" s="55" t="str">
        <f t="shared" si="0"/>
        <v/>
      </c>
      <c r="G454" s="56" t="str">
        <f t="shared" si="1"/>
        <v/>
      </c>
      <c r="H454" s="55" t="str">
        <f t="shared" si="2"/>
        <v/>
      </c>
      <c r="I454" s="59"/>
      <c r="J454" s="59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90"/>
      <c r="B455" s="52"/>
      <c r="C455" s="53"/>
      <c r="D455" s="54"/>
      <c r="E455" s="52"/>
      <c r="F455" s="55" t="str">
        <f t="shared" si="0"/>
        <v/>
      </c>
      <c r="G455" s="56" t="str">
        <f t="shared" si="1"/>
        <v/>
      </c>
      <c r="H455" s="55" t="str">
        <f t="shared" si="2"/>
        <v/>
      </c>
      <c r="I455" s="59"/>
      <c r="J455" s="59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90"/>
      <c r="B456" s="52"/>
      <c r="C456" s="53"/>
      <c r="D456" s="54"/>
      <c r="E456" s="52"/>
      <c r="F456" s="55" t="str">
        <f t="shared" si="0"/>
        <v/>
      </c>
      <c r="G456" s="56" t="str">
        <f t="shared" si="1"/>
        <v/>
      </c>
      <c r="H456" s="55" t="str">
        <f t="shared" si="2"/>
        <v/>
      </c>
      <c r="I456" s="59"/>
      <c r="J456" s="59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90"/>
      <c r="B457" s="52"/>
      <c r="C457" s="53"/>
      <c r="D457" s="54"/>
      <c r="E457" s="52"/>
      <c r="F457" s="55" t="str">
        <f t="shared" si="0"/>
        <v/>
      </c>
      <c r="G457" s="56" t="str">
        <f t="shared" si="1"/>
        <v/>
      </c>
      <c r="H457" s="55" t="str">
        <f t="shared" si="2"/>
        <v/>
      </c>
      <c r="I457" s="59"/>
      <c r="J457" s="59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90"/>
      <c r="B458" s="52"/>
      <c r="C458" s="53"/>
      <c r="D458" s="54"/>
      <c r="E458" s="52"/>
      <c r="F458" s="55" t="str">
        <f t="shared" si="0"/>
        <v/>
      </c>
      <c r="G458" s="56" t="str">
        <f t="shared" si="1"/>
        <v/>
      </c>
      <c r="H458" s="55" t="str">
        <f t="shared" si="2"/>
        <v/>
      </c>
      <c r="I458" s="59"/>
      <c r="J458" s="59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90"/>
      <c r="B459" s="52"/>
      <c r="C459" s="53"/>
      <c r="D459" s="54"/>
      <c r="E459" s="52"/>
      <c r="F459" s="55" t="str">
        <f t="shared" si="0"/>
        <v/>
      </c>
      <c r="G459" s="56" t="str">
        <f t="shared" si="1"/>
        <v/>
      </c>
      <c r="H459" s="55" t="str">
        <f t="shared" si="2"/>
        <v/>
      </c>
      <c r="I459" s="59"/>
      <c r="J459" s="59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90"/>
      <c r="B460" s="52"/>
      <c r="C460" s="53"/>
      <c r="D460" s="54"/>
      <c r="E460" s="52"/>
      <c r="F460" s="55" t="str">
        <f t="shared" si="0"/>
        <v/>
      </c>
      <c r="G460" s="56" t="str">
        <f t="shared" si="1"/>
        <v/>
      </c>
      <c r="H460" s="55" t="str">
        <f t="shared" si="2"/>
        <v/>
      </c>
      <c r="I460" s="59"/>
      <c r="J460" s="59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90"/>
      <c r="B461" s="52"/>
      <c r="C461" s="53"/>
      <c r="D461" s="54"/>
      <c r="E461" s="52"/>
      <c r="F461" s="55" t="str">
        <f t="shared" si="0"/>
        <v/>
      </c>
      <c r="G461" s="56" t="str">
        <f t="shared" si="1"/>
        <v/>
      </c>
      <c r="H461" s="55" t="str">
        <f t="shared" si="2"/>
        <v/>
      </c>
      <c r="I461" s="59"/>
      <c r="J461" s="59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90"/>
      <c r="B462" s="52"/>
      <c r="C462" s="53"/>
      <c r="D462" s="54"/>
      <c r="E462" s="52"/>
      <c r="F462" s="55" t="str">
        <f t="shared" si="0"/>
        <v/>
      </c>
      <c r="G462" s="56" t="str">
        <f t="shared" si="1"/>
        <v/>
      </c>
      <c r="H462" s="55" t="str">
        <f t="shared" si="2"/>
        <v/>
      </c>
      <c r="I462" s="59"/>
      <c r="J462" s="59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90"/>
      <c r="B463" s="52"/>
      <c r="C463" s="53"/>
      <c r="D463" s="54"/>
      <c r="E463" s="52"/>
      <c r="F463" s="55" t="str">
        <f t="shared" si="0"/>
        <v/>
      </c>
      <c r="G463" s="56" t="str">
        <f t="shared" si="1"/>
        <v/>
      </c>
      <c r="H463" s="55" t="str">
        <f t="shared" si="2"/>
        <v/>
      </c>
      <c r="I463" s="59"/>
      <c r="J463" s="59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90"/>
      <c r="B464" s="52"/>
      <c r="C464" s="53"/>
      <c r="D464" s="54"/>
      <c r="E464" s="52"/>
      <c r="F464" s="55" t="str">
        <f t="shared" si="0"/>
        <v/>
      </c>
      <c r="G464" s="56" t="str">
        <f t="shared" si="1"/>
        <v/>
      </c>
      <c r="H464" s="55" t="str">
        <f t="shared" si="2"/>
        <v/>
      </c>
      <c r="I464" s="59"/>
      <c r="J464" s="59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90"/>
      <c r="B465" s="52"/>
      <c r="C465" s="53"/>
      <c r="D465" s="54"/>
      <c r="E465" s="52"/>
      <c r="F465" s="55" t="str">
        <f t="shared" si="0"/>
        <v/>
      </c>
      <c r="G465" s="56" t="str">
        <f t="shared" si="1"/>
        <v/>
      </c>
      <c r="H465" s="55" t="str">
        <f t="shared" si="2"/>
        <v/>
      </c>
      <c r="I465" s="59"/>
      <c r="J465" s="59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90"/>
      <c r="B466" s="52"/>
      <c r="C466" s="53"/>
      <c r="D466" s="54"/>
      <c r="E466" s="52"/>
      <c r="F466" s="55" t="str">
        <f t="shared" si="0"/>
        <v/>
      </c>
      <c r="G466" s="56" t="str">
        <f t="shared" si="1"/>
        <v/>
      </c>
      <c r="H466" s="55" t="str">
        <f t="shared" si="2"/>
        <v/>
      </c>
      <c r="I466" s="59"/>
      <c r="J466" s="59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90"/>
      <c r="B467" s="52"/>
      <c r="C467" s="53"/>
      <c r="D467" s="54"/>
      <c r="E467" s="52"/>
      <c r="F467" s="55" t="str">
        <f t="shared" si="0"/>
        <v/>
      </c>
      <c r="G467" s="56" t="str">
        <f t="shared" si="1"/>
        <v/>
      </c>
      <c r="H467" s="55" t="str">
        <f t="shared" si="2"/>
        <v/>
      </c>
      <c r="I467" s="59"/>
      <c r="J467" s="59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90"/>
      <c r="B468" s="52"/>
      <c r="C468" s="53"/>
      <c r="D468" s="54"/>
      <c r="E468" s="52"/>
      <c r="F468" s="55" t="str">
        <f t="shared" si="0"/>
        <v/>
      </c>
      <c r="G468" s="56" t="str">
        <f t="shared" si="1"/>
        <v/>
      </c>
      <c r="H468" s="55" t="str">
        <f t="shared" si="2"/>
        <v/>
      </c>
      <c r="I468" s="59"/>
      <c r="J468" s="59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90"/>
      <c r="B469" s="52"/>
      <c r="C469" s="53"/>
      <c r="D469" s="54"/>
      <c r="E469" s="52"/>
      <c r="F469" s="55" t="str">
        <f t="shared" si="0"/>
        <v/>
      </c>
      <c r="G469" s="56" t="str">
        <f t="shared" si="1"/>
        <v/>
      </c>
      <c r="H469" s="55" t="str">
        <f t="shared" si="2"/>
        <v/>
      </c>
      <c r="I469" s="59"/>
      <c r="J469" s="59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90"/>
      <c r="B470" s="52"/>
      <c r="C470" s="53"/>
      <c r="D470" s="54"/>
      <c r="E470" s="52"/>
      <c r="F470" s="55" t="str">
        <f t="shared" si="0"/>
        <v/>
      </c>
      <c r="G470" s="56" t="str">
        <f t="shared" si="1"/>
        <v/>
      </c>
      <c r="H470" s="55" t="str">
        <f t="shared" si="2"/>
        <v/>
      </c>
      <c r="I470" s="59"/>
      <c r="J470" s="59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90"/>
      <c r="B471" s="52"/>
      <c r="C471" s="53"/>
      <c r="D471" s="54"/>
      <c r="E471" s="52"/>
      <c r="F471" s="55" t="str">
        <f t="shared" si="0"/>
        <v/>
      </c>
      <c r="G471" s="56" t="str">
        <f t="shared" si="1"/>
        <v/>
      </c>
      <c r="H471" s="55" t="str">
        <f t="shared" si="2"/>
        <v/>
      </c>
      <c r="I471" s="59"/>
      <c r="J471" s="59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90"/>
      <c r="B472" s="52"/>
      <c r="C472" s="53"/>
      <c r="D472" s="54"/>
      <c r="E472" s="52"/>
      <c r="F472" s="55" t="str">
        <f t="shared" si="0"/>
        <v/>
      </c>
      <c r="G472" s="56" t="str">
        <f t="shared" si="1"/>
        <v/>
      </c>
      <c r="H472" s="55" t="str">
        <f t="shared" si="2"/>
        <v/>
      </c>
      <c r="I472" s="59"/>
      <c r="J472" s="59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90"/>
      <c r="B473" s="52"/>
      <c r="C473" s="53"/>
      <c r="D473" s="54"/>
      <c r="E473" s="52"/>
      <c r="F473" s="55" t="str">
        <f t="shared" si="0"/>
        <v/>
      </c>
      <c r="G473" s="56" t="str">
        <f t="shared" si="1"/>
        <v/>
      </c>
      <c r="H473" s="55" t="str">
        <f t="shared" si="2"/>
        <v/>
      </c>
      <c r="I473" s="59"/>
      <c r="J473" s="59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90"/>
      <c r="B474" s="52"/>
      <c r="C474" s="53"/>
      <c r="D474" s="54"/>
      <c r="E474" s="52"/>
      <c r="F474" s="55" t="str">
        <f t="shared" si="0"/>
        <v/>
      </c>
      <c r="G474" s="56" t="str">
        <f t="shared" si="1"/>
        <v/>
      </c>
      <c r="H474" s="55" t="str">
        <f t="shared" si="2"/>
        <v/>
      </c>
      <c r="I474" s="59"/>
      <c r="J474" s="59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90"/>
      <c r="B475" s="52"/>
      <c r="C475" s="53"/>
      <c r="D475" s="54"/>
      <c r="E475" s="52"/>
      <c r="F475" s="55" t="str">
        <f t="shared" si="0"/>
        <v/>
      </c>
      <c r="G475" s="56" t="str">
        <f t="shared" si="1"/>
        <v/>
      </c>
      <c r="H475" s="55" t="str">
        <f t="shared" si="2"/>
        <v/>
      </c>
      <c r="I475" s="59"/>
      <c r="J475" s="59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90"/>
      <c r="B476" s="52"/>
      <c r="C476" s="53"/>
      <c r="D476" s="54"/>
      <c r="E476" s="52"/>
      <c r="F476" s="55" t="str">
        <f t="shared" si="0"/>
        <v/>
      </c>
      <c r="G476" s="56" t="str">
        <f t="shared" si="1"/>
        <v/>
      </c>
      <c r="H476" s="55" t="str">
        <f t="shared" si="2"/>
        <v/>
      </c>
      <c r="I476" s="59"/>
      <c r="J476" s="59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90"/>
      <c r="B477" s="52"/>
      <c r="C477" s="53"/>
      <c r="D477" s="54"/>
      <c r="E477" s="52"/>
      <c r="F477" s="55" t="str">
        <f t="shared" si="0"/>
        <v/>
      </c>
      <c r="G477" s="56" t="str">
        <f t="shared" si="1"/>
        <v/>
      </c>
      <c r="H477" s="55" t="str">
        <f t="shared" si="2"/>
        <v/>
      </c>
      <c r="I477" s="59"/>
      <c r="J477" s="59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90"/>
      <c r="B478" s="52"/>
      <c r="C478" s="53"/>
      <c r="D478" s="54"/>
      <c r="E478" s="52"/>
      <c r="F478" s="55" t="str">
        <f t="shared" si="0"/>
        <v/>
      </c>
      <c r="G478" s="56" t="str">
        <f t="shared" si="1"/>
        <v/>
      </c>
      <c r="H478" s="55" t="str">
        <f t="shared" si="2"/>
        <v/>
      </c>
      <c r="I478" s="59"/>
      <c r="J478" s="59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90"/>
      <c r="B479" s="52"/>
      <c r="C479" s="53"/>
      <c r="D479" s="54"/>
      <c r="E479" s="52"/>
      <c r="F479" s="55" t="str">
        <f t="shared" si="0"/>
        <v/>
      </c>
      <c r="G479" s="56" t="str">
        <f t="shared" si="1"/>
        <v/>
      </c>
      <c r="H479" s="55" t="str">
        <f t="shared" si="2"/>
        <v/>
      </c>
      <c r="I479" s="59"/>
      <c r="J479" s="59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90"/>
      <c r="B480" s="52"/>
      <c r="C480" s="53"/>
      <c r="D480" s="54"/>
      <c r="E480" s="52"/>
      <c r="F480" s="55" t="str">
        <f t="shared" si="0"/>
        <v/>
      </c>
      <c r="G480" s="56" t="str">
        <f t="shared" si="1"/>
        <v/>
      </c>
      <c r="H480" s="55" t="str">
        <f t="shared" si="2"/>
        <v/>
      </c>
      <c r="I480" s="59"/>
      <c r="J480" s="59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90"/>
      <c r="B481" s="52"/>
      <c r="C481" s="53"/>
      <c r="D481" s="54"/>
      <c r="E481" s="52"/>
      <c r="F481" s="55" t="str">
        <f t="shared" si="0"/>
        <v/>
      </c>
      <c r="G481" s="56" t="str">
        <f t="shared" si="1"/>
        <v/>
      </c>
      <c r="H481" s="55" t="str">
        <f t="shared" si="2"/>
        <v/>
      </c>
      <c r="I481" s="59"/>
      <c r="J481" s="59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90"/>
      <c r="B482" s="52"/>
      <c r="C482" s="53"/>
      <c r="D482" s="54"/>
      <c r="E482" s="52"/>
      <c r="F482" s="55" t="str">
        <f t="shared" si="0"/>
        <v/>
      </c>
      <c r="G482" s="56" t="str">
        <f t="shared" si="1"/>
        <v/>
      </c>
      <c r="H482" s="55" t="str">
        <f t="shared" si="2"/>
        <v/>
      </c>
      <c r="I482" s="59"/>
      <c r="J482" s="59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90"/>
      <c r="B483" s="52"/>
      <c r="C483" s="53"/>
      <c r="D483" s="54"/>
      <c r="E483" s="52"/>
      <c r="F483" s="55" t="str">
        <f t="shared" si="0"/>
        <v/>
      </c>
      <c r="G483" s="56" t="str">
        <f t="shared" si="1"/>
        <v/>
      </c>
      <c r="H483" s="55" t="str">
        <f t="shared" si="2"/>
        <v/>
      </c>
      <c r="I483" s="59"/>
      <c r="J483" s="59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90"/>
      <c r="B484" s="52"/>
      <c r="C484" s="53"/>
      <c r="D484" s="54"/>
      <c r="E484" s="52"/>
      <c r="F484" s="55" t="str">
        <f t="shared" si="0"/>
        <v/>
      </c>
      <c r="G484" s="56" t="str">
        <f t="shared" si="1"/>
        <v/>
      </c>
      <c r="H484" s="55" t="str">
        <f t="shared" si="2"/>
        <v/>
      </c>
      <c r="I484" s="59"/>
      <c r="J484" s="59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90"/>
      <c r="B485" s="52"/>
      <c r="C485" s="53"/>
      <c r="D485" s="54"/>
      <c r="E485" s="52"/>
      <c r="F485" s="55" t="str">
        <f t="shared" si="0"/>
        <v/>
      </c>
      <c r="G485" s="56" t="str">
        <f t="shared" si="1"/>
        <v/>
      </c>
      <c r="H485" s="55" t="str">
        <f t="shared" si="2"/>
        <v/>
      </c>
      <c r="I485" s="59"/>
      <c r="J485" s="59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90"/>
      <c r="B486" s="52"/>
      <c r="C486" s="53"/>
      <c r="D486" s="54"/>
      <c r="E486" s="52"/>
      <c r="F486" s="55" t="str">
        <f t="shared" si="0"/>
        <v/>
      </c>
      <c r="G486" s="56" t="str">
        <f t="shared" si="1"/>
        <v/>
      </c>
      <c r="H486" s="55" t="str">
        <f t="shared" si="2"/>
        <v/>
      </c>
      <c r="I486" s="59"/>
      <c r="J486" s="59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90"/>
      <c r="B487" s="52"/>
      <c r="C487" s="53"/>
      <c r="D487" s="54"/>
      <c r="E487" s="52"/>
      <c r="F487" s="55" t="str">
        <f t="shared" si="0"/>
        <v/>
      </c>
      <c r="G487" s="56" t="str">
        <f t="shared" si="1"/>
        <v/>
      </c>
      <c r="H487" s="55" t="str">
        <f t="shared" si="2"/>
        <v/>
      </c>
      <c r="I487" s="59"/>
      <c r="J487" s="59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90"/>
      <c r="B488" s="52"/>
      <c r="C488" s="53"/>
      <c r="D488" s="54"/>
      <c r="E488" s="52"/>
      <c r="F488" s="55" t="str">
        <f t="shared" si="0"/>
        <v/>
      </c>
      <c r="G488" s="56" t="str">
        <f t="shared" si="1"/>
        <v/>
      </c>
      <c r="H488" s="55" t="str">
        <f t="shared" si="2"/>
        <v/>
      </c>
      <c r="I488" s="59"/>
      <c r="J488" s="59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90"/>
      <c r="B489" s="52"/>
      <c r="C489" s="53"/>
      <c r="D489" s="54"/>
      <c r="E489" s="52"/>
      <c r="F489" s="55" t="str">
        <f t="shared" si="0"/>
        <v/>
      </c>
      <c r="G489" s="56" t="str">
        <f t="shared" si="1"/>
        <v/>
      </c>
      <c r="H489" s="55" t="str">
        <f t="shared" si="2"/>
        <v/>
      </c>
      <c r="I489" s="59"/>
      <c r="J489" s="59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90"/>
      <c r="B490" s="52"/>
      <c r="C490" s="53"/>
      <c r="D490" s="54"/>
      <c r="E490" s="52"/>
      <c r="F490" s="55" t="str">
        <f t="shared" si="0"/>
        <v/>
      </c>
      <c r="G490" s="56" t="str">
        <f t="shared" si="1"/>
        <v/>
      </c>
      <c r="H490" s="55" t="str">
        <f t="shared" si="2"/>
        <v/>
      </c>
      <c r="I490" s="59"/>
      <c r="J490" s="59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90"/>
      <c r="B491" s="52"/>
      <c r="C491" s="53"/>
      <c r="D491" s="54"/>
      <c r="E491" s="52"/>
      <c r="F491" s="55" t="str">
        <f t="shared" si="0"/>
        <v/>
      </c>
      <c r="G491" s="56" t="str">
        <f t="shared" si="1"/>
        <v/>
      </c>
      <c r="H491" s="55" t="str">
        <f t="shared" si="2"/>
        <v/>
      </c>
      <c r="I491" s="59"/>
      <c r="J491" s="59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90"/>
      <c r="B492" s="52"/>
      <c r="C492" s="53"/>
      <c r="D492" s="54"/>
      <c r="E492" s="52"/>
      <c r="F492" s="55" t="str">
        <f t="shared" si="0"/>
        <v/>
      </c>
      <c r="G492" s="56" t="str">
        <f t="shared" si="1"/>
        <v/>
      </c>
      <c r="H492" s="55" t="str">
        <f t="shared" si="2"/>
        <v/>
      </c>
      <c r="I492" s="59"/>
      <c r="J492" s="59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90"/>
      <c r="B493" s="52"/>
      <c r="C493" s="53"/>
      <c r="D493" s="54"/>
      <c r="E493" s="52"/>
      <c r="F493" s="55" t="str">
        <f t="shared" si="0"/>
        <v/>
      </c>
      <c r="G493" s="56" t="str">
        <f t="shared" si="1"/>
        <v/>
      </c>
      <c r="H493" s="55" t="str">
        <f t="shared" si="2"/>
        <v/>
      </c>
      <c r="I493" s="59"/>
      <c r="J493" s="59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90"/>
      <c r="B494" s="52"/>
      <c r="C494" s="53"/>
      <c r="D494" s="54"/>
      <c r="E494" s="52"/>
      <c r="F494" s="55" t="str">
        <f t="shared" si="0"/>
        <v/>
      </c>
      <c r="G494" s="56" t="str">
        <f t="shared" si="1"/>
        <v/>
      </c>
      <c r="H494" s="55" t="str">
        <f t="shared" si="2"/>
        <v/>
      </c>
      <c r="I494" s="59"/>
      <c r="J494" s="59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90"/>
      <c r="B495" s="52"/>
      <c r="C495" s="53"/>
      <c r="D495" s="54"/>
      <c r="E495" s="52"/>
      <c r="F495" s="55" t="str">
        <f t="shared" si="0"/>
        <v/>
      </c>
      <c r="G495" s="56" t="str">
        <f t="shared" si="1"/>
        <v/>
      </c>
      <c r="H495" s="55" t="str">
        <f t="shared" si="2"/>
        <v/>
      </c>
      <c r="I495" s="59"/>
      <c r="J495" s="59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90"/>
      <c r="B496" s="52"/>
      <c r="C496" s="53"/>
      <c r="D496" s="54"/>
      <c r="E496" s="52"/>
      <c r="F496" s="55" t="str">
        <f t="shared" si="0"/>
        <v/>
      </c>
      <c r="G496" s="56" t="str">
        <f t="shared" si="1"/>
        <v/>
      </c>
      <c r="H496" s="55" t="str">
        <f t="shared" si="2"/>
        <v/>
      </c>
      <c r="I496" s="59"/>
      <c r="J496" s="59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90"/>
      <c r="B497" s="52"/>
      <c r="C497" s="53"/>
      <c r="D497" s="54"/>
      <c r="E497" s="52"/>
      <c r="F497" s="55" t="str">
        <f t="shared" si="0"/>
        <v/>
      </c>
      <c r="G497" s="56" t="str">
        <f t="shared" si="1"/>
        <v/>
      </c>
      <c r="H497" s="55" t="str">
        <f t="shared" si="2"/>
        <v/>
      </c>
      <c r="I497" s="59"/>
      <c r="J497" s="59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90"/>
      <c r="B498" s="52"/>
      <c r="C498" s="53"/>
      <c r="D498" s="54"/>
      <c r="E498" s="52"/>
      <c r="F498" s="55" t="str">
        <f t="shared" si="0"/>
        <v/>
      </c>
      <c r="G498" s="56" t="str">
        <f t="shared" si="1"/>
        <v/>
      </c>
      <c r="H498" s="55" t="str">
        <f t="shared" si="2"/>
        <v/>
      </c>
      <c r="I498" s="59"/>
      <c r="J498" s="59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90"/>
      <c r="B499" s="52"/>
      <c r="C499" s="53"/>
      <c r="D499" s="54"/>
      <c r="E499" s="52"/>
      <c r="F499" s="55" t="str">
        <f t="shared" si="0"/>
        <v/>
      </c>
      <c r="G499" s="56" t="str">
        <f t="shared" si="1"/>
        <v/>
      </c>
      <c r="H499" s="55" t="str">
        <f t="shared" si="2"/>
        <v/>
      </c>
      <c r="I499" s="59"/>
      <c r="J499" s="59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90"/>
      <c r="B500" s="52"/>
      <c r="C500" s="53"/>
      <c r="D500" s="54"/>
      <c r="E500" s="52"/>
      <c r="F500" s="55" t="str">
        <f t="shared" si="0"/>
        <v/>
      </c>
      <c r="G500" s="56" t="str">
        <f t="shared" si="1"/>
        <v/>
      </c>
      <c r="H500" s="55" t="str">
        <f t="shared" si="2"/>
        <v/>
      </c>
      <c r="I500" s="59"/>
      <c r="J500" s="59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14"/>
      <c r="B501" s="15"/>
      <c r="C501" s="16"/>
      <c r="D501" s="17"/>
      <c r="E501" s="15"/>
      <c r="F501" s="18"/>
      <c r="G501" s="19"/>
      <c r="H501" s="18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14"/>
      <c r="B502" s="15"/>
      <c r="C502" s="16"/>
      <c r="D502" s="17"/>
      <c r="E502" s="15"/>
      <c r="F502" s="20"/>
      <c r="G502" s="21"/>
      <c r="H502" s="20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14"/>
      <c r="B503" s="15"/>
      <c r="C503" s="16"/>
      <c r="D503" s="17"/>
      <c r="E503" s="15"/>
      <c r="F503" s="20"/>
      <c r="G503" s="21"/>
      <c r="H503" s="20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14"/>
      <c r="B504" s="15"/>
      <c r="C504" s="16"/>
      <c r="D504" s="17"/>
      <c r="E504" s="15"/>
      <c r="F504" s="20"/>
      <c r="G504" s="21"/>
      <c r="H504" s="20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14"/>
      <c r="B505" s="15"/>
      <c r="C505" s="16"/>
      <c r="D505" s="17"/>
      <c r="E505" s="15"/>
      <c r="F505" s="20"/>
      <c r="G505" s="21"/>
      <c r="H505" s="20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14"/>
      <c r="B506" s="15"/>
      <c r="C506" s="16"/>
      <c r="D506" s="17"/>
      <c r="E506" s="15"/>
      <c r="F506" s="20"/>
      <c r="G506" s="21"/>
      <c r="H506" s="20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14"/>
      <c r="B507" s="15"/>
      <c r="C507" s="16"/>
      <c r="D507" s="17"/>
      <c r="E507" s="15"/>
      <c r="F507" s="20"/>
      <c r="G507" s="21"/>
      <c r="H507" s="20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14"/>
      <c r="B508" s="15"/>
      <c r="C508" s="16"/>
      <c r="D508" s="17"/>
      <c r="E508" s="15"/>
      <c r="F508" s="20"/>
      <c r="G508" s="21"/>
      <c r="H508" s="20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14"/>
      <c r="B509" s="15"/>
      <c r="C509" s="16"/>
      <c r="D509" s="17"/>
      <c r="E509" s="15"/>
      <c r="F509" s="20"/>
      <c r="G509" s="21"/>
      <c r="H509" s="20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14"/>
      <c r="B510" s="15"/>
      <c r="C510" s="16"/>
      <c r="D510" s="17"/>
      <c r="E510" s="15"/>
      <c r="F510" s="20"/>
      <c r="G510" s="21"/>
      <c r="H510" s="20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14"/>
      <c r="B511" s="15"/>
      <c r="C511" s="16"/>
      <c r="D511" s="17"/>
      <c r="E511" s="15"/>
      <c r="F511" s="20"/>
      <c r="G511" s="21"/>
      <c r="H511" s="20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14"/>
      <c r="B512" s="15"/>
      <c r="C512" s="16"/>
      <c r="D512" s="17"/>
      <c r="E512" s="15"/>
      <c r="F512" s="20"/>
      <c r="G512" s="21"/>
      <c r="H512" s="20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14"/>
      <c r="B513" s="15"/>
      <c r="C513" s="16"/>
      <c r="D513" s="17"/>
      <c r="E513" s="15"/>
      <c r="F513" s="20"/>
      <c r="G513" s="21"/>
      <c r="H513" s="20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14"/>
      <c r="B514" s="15"/>
      <c r="C514" s="16"/>
      <c r="D514" s="17"/>
      <c r="E514" s="15"/>
      <c r="F514" s="20"/>
      <c r="G514" s="21"/>
      <c r="H514" s="20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14"/>
      <c r="B515" s="15"/>
      <c r="C515" s="16"/>
      <c r="D515" s="17"/>
      <c r="E515" s="15"/>
      <c r="F515" s="20"/>
      <c r="G515" s="21"/>
      <c r="H515" s="20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14"/>
      <c r="B516" s="15"/>
      <c r="C516" s="16"/>
      <c r="D516" s="17"/>
      <c r="E516" s="15"/>
      <c r="F516" s="20"/>
      <c r="G516" s="21"/>
      <c r="H516" s="20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14"/>
      <c r="B517" s="15"/>
      <c r="C517" s="16"/>
      <c r="D517" s="17"/>
      <c r="E517" s="15"/>
      <c r="F517" s="20"/>
      <c r="G517" s="21"/>
      <c r="H517" s="20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14"/>
      <c r="B518" s="15"/>
      <c r="C518" s="16"/>
      <c r="D518" s="17"/>
      <c r="E518" s="15"/>
      <c r="F518" s="20"/>
      <c r="G518" s="21"/>
      <c r="H518" s="20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14"/>
      <c r="B519" s="15"/>
      <c r="C519" s="16"/>
      <c r="D519" s="17"/>
      <c r="E519" s="15"/>
      <c r="F519" s="20"/>
      <c r="G519" s="21"/>
      <c r="H519" s="20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14"/>
      <c r="B520" s="15"/>
      <c r="C520" s="16"/>
      <c r="D520" s="17"/>
      <c r="E520" s="15"/>
      <c r="F520" s="20"/>
      <c r="G520" s="21"/>
      <c r="H520" s="20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14"/>
      <c r="B521" s="15"/>
      <c r="C521" s="16"/>
      <c r="D521" s="17"/>
      <c r="E521" s="15"/>
      <c r="F521" s="20"/>
      <c r="G521" s="21"/>
      <c r="H521" s="20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14"/>
      <c r="B522" s="15"/>
      <c r="C522" s="16"/>
      <c r="D522" s="17"/>
      <c r="E522" s="15"/>
      <c r="F522" s="20"/>
      <c r="G522" s="21"/>
      <c r="H522" s="20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14"/>
      <c r="B523" s="15"/>
      <c r="C523" s="16"/>
      <c r="D523" s="17"/>
      <c r="E523" s="15"/>
      <c r="F523" s="20"/>
      <c r="G523" s="21"/>
      <c r="H523" s="20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14"/>
      <c r="B524" s="15"/>
      <c r="C524" s="16"/>
      <c r="D524" s="17"/>
      <c r="E524" s="15"/>
      <c r="F524" s="20"/>
      <c r="G524" s="21"/>
      <c r="H524" s="20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14"/>
      <c r="B525" s="15"/>
      <c r="C525" s="16"/>
      <c r="D525" s="17"/>
      <c r="E525" s="15"/>
      <c r="F525" s="20"/>
      <c r="G525" s="21"/>
      <c r="H525" s="20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14"/>
      <c r="B526" s="15"/>
      <c r="C526" s="16"/>
      <c r="D526" s="17"/>
      <c r="E526" s="15"/>
      <c r="F526" s="20"/>
      <c r="G526" s="21"/>
      <c r="H526" s="20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14"/>
      <c r="B527" s="15"/>
      <c r="C527" s="16"/>
      <c r="D527" s="17"/>
      <c r="E527" s="15"/>
      <c r="F527" s="20"/>
      <c r="G527" s="21"/>
      <c r="H527" s="20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14"/>
      <c r="B528" s="15"/>
      <c r="C528" s="16"/>
      <c r="D528" s="17"/>
      <c r="E528" s="15"/>
      <c r="F528" s="20"/>
      <c r="G528" s="21"/>
      <c r="H528" s="20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14"/>
      <c r="B529" s="15"/>
      <c r="C529" s="16"/>
      <c r="D529" s="17"/>
      <c r="E529" s="15"/>
      <c r="F529" s="20"/>
      <c r="G529" s="21"/>
      <c r="H529" s="20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14"/>
      <c r="B530" s="15"/>
      <c r="C530" s="16"/>
      <c r="D530" s="17"/>
      <c r="E530" s="15"/>
      <c r="F530" s="20"/>
      <c r="G530" s="21"/>
      <c r="H530" s="20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14"/>
      <c r="B531" s="15"/>
      <c r="C531" s="16"/>
      <c r="D531" s="17"/>
      <c r="E531" s="15"/>
      <c r="F531" s="20"/>
      <c r="G531" s="21"/>
      <c r="H531" s="20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14"/>
      <c r="B532" s="15"/>
      <c r="C532" s="16"/>
      <c r="D532" s="17"/>
      <c r="E532" s="15"/>
      <c r="F532" s="20"/>
      <c r="G532" s="21"/>
      <c r="H532" s="20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14"/>
      <c r="B533" s="15"/>
      <c r="C533" s="16"/>
      <c r="D533" s="17"/>
      <c r="E533" s="15"/>
      <c r="F533" s="20"/>
      <c r="G533" s="21"/>
      <c r="H533" s="20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14"/>
      <c r="B534" s="15"/>
      <c r="C534" s="16"/>
      <c r="D534" s="17"/>
      <c r="E534" s="15"/>
      <c r="F534" s="20"/>
      <c r="G534" s="21"/>
      <c r="H534" s="20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14"/>
      <c r="B535" s="15"/>
      <c r="C535" s="16"/>
      <c r="D535" s="17"/>
      <c r="E535" s="15"/>
      <c r="F535" s="20"/>
      <c r="G535" s="21"/>
      <c r="H535" s="20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14"/>
      <c r="B536" s="15"/>
      <c r="C536" s="16"/>
      <c r="D536" s="17"/>
      <c r="E536" s="15"/>
      <c r="F536" s="20"/>
      <c r="G536" s="21"/>
      <c r="H536" s="20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14"/>
      <c r="B537" s="15"/>
      <c r="C537" s="16"/>
      <c r="D537" s="17"/>
      <c r="E537" s="15"/>
      <c r="F537" s="20"/>
      <c r="G537" s="21"/>
      <c r="H537" s="20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14"/>
      <c r="B538" s="15"/>
      <c r="C538" s="16"/>
      <c r="D538" s="17"/>
      <c r="E538" s="15"/>
      <c r="F538" s="20"/>
      <c r="G538" s="21"/>
      <c r="H538" s="20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14"/>
      <c r="B539" s="15"/>
      <c r="C539" s="16"/>
      <c r="D539" s="17"/>
      <c r="E539" s="15"/>
      <c r="F539" s="20"/>
      <c r="G539" s="21"/>
      <c r="H539" s="20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14"/>
      <c r="B540" s="15"/>
      <c r="C540" s="16"/>
      <c r="D540" s="17"/>
      <c r="E540" s="15"/>
      <c r="F540" s="20"/>
      <c r="G540" s="21"/>
      <c r="H540" s="20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14"/>
      <c r="B541" s="15"/>
      <c r="C541" s="16"/>
      <c r="D541" s="17"/>
      <c r="E541" s="15"/>
      <c r="F541" s="20"/>
      <c r="G541" s="21"/>
      <c r="H541" s="20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14"/>
      <c r="B542" s="15"/>
      <c r="C542" s="16"/>
      <c r="D542" s="17"/>
      <c r="E542" s="15"/>
      <c r="F542" s="20"/>
      <c r="G542" s="21"/>
      <c r="H542" s="20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14"/>
      <c r="B543" s="15"/>
      <c r="C543" s="16"/>
      <c r="D543" s="17"/>
      <c r="E543" s="15"/>
      <c r="F543" s="20"/>
      <c r="G543" s="21"/>
      <c r="H543" s="20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14"/>
      <c r="B544" s="15"/>
      <c r="C544" s="16"/>
      <c r="D544" s="17"/>
      <c r="E544" s="15"/>
      <c r="F544" s="20"/>
      <c r="G544" s="21"/>
      <c r="H544" s="20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14"/>
      <c r="B545" s="15"/>
      <c r="C545" s="16"/>
      <c r="D545" s="17"/>
      <c r="E545" s="15"/>
      <c r="F545" s="20"/>
      <c r="G545" s="21"/>
      <c r="H545" s="20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14"/>
      <c r="B546" s="15"/>
      <c r="C546" s="16"/>
      <c r="D546" s="17"/>
      <c r="E546" s="15"/>
      <c r="F546" s="20"/>
      <c r="G546" s="21"/>
      <c r="H546" s="20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14"/>
      <c r="B547" s="15"/>
      <c r="C547" s="16"/>
      <c r="D547" s="17"/>
      <c r="E547" s="15"/>
      <c r="F547" s="20"/>
      <c r="G547" s="21"/>
      <c r="H547" s="20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14"/>
      <c r="B548" s="15"/>
      <c r="C548" s="16"/>
      <c r="D548" s="17"/>
      <c r="E548" s="15"/>
      <c r="F548" s="20"/>
      <c r="G548" s="21"/>
      <c r="H548" s="20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14"/>
      <c r="B549" s="15"/>
      <c r="C549" s="16"/>
      <c r="D549" s="17"/>
      <c r="E549" s="15"/>
      <c r="F549" s="20"/>
      <c r="G549" s="21"/>
      <c r="H549" s="20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14"/>
      <c r="B550" s="15"/>
      <c r="C550" s="16"/>
      <c r="D550" s="17"/>
      <c r="E550" s="15"/>
      <c r="F550" s="20"/>
      <c r="G550" s="21"/>
      <c r="H550" s="20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14"/>
      <c r="B551" s="15"/>
      <c r="C551" s="16"/>
      <c r="D551" s="17"/>
      <c r="E551" s="15"/>
      <c r="F551" s="20"/>
      <c r="G551" s="21"/>
      <c r="H551" s="20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14"/>
      <c r="B552" s="15"/>
      <c r="C552" s="16"/>
      <c r="D552" s="17"/>
      <c r="E552" s="15"/>
      <c r="F552" s="20"/>
      <c r="G552" s="21"/>
      <c r="H552" s="20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14"/>
      <c r="B553" s="15"/>
      <c r="C553" s="16"/>
      <c r="D553" s="17"/>
      <c r="E553" s="15"/>
      <c r="F553" s="20"/>
      <c r="G553" s="21"/>
      <c r="H553" s="20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14"/>
      <c r="B554" s="15"/>
      <c r="C554" s="16"/>
      <c r="D554" s="17"/>
      <c r="E554" s="15"/>
      <c r="F554" s="20"/>
      <c r="G554" s="21"/>
      <c r="H554" s="20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14"/>
      <c r="B555" s="15"/>
      <c r="C555" s="16"/>
      <c r="D555" s="17"/>
      <c r="E555" s="15"/>
      <c r="F555" s="20"/>
      <c r="G555" s="21"/>
      <c r="H555" s="20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14"/>
      <c r="B556" s="15"/>
      <c r="C556" s="16"/>
      <c r="D556" s="17"/>
      <c r="E556" s="15"/>
      <c r="F556" s="20"/>
      <c r="G556" s="21"/>
      <c r="H556" s="20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14"/>
      <c r="B557" s="15"/>
      <c r="C557" s="16"/>
      <c r="D557" s="17"/>
      <c r="E557" s="15"/>
      <c r="F557" s="20"/>
      <c r="G557" s="21"/>
      <c r="H557" s="20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14"/>
      <c r="B558" s="15"/>
      <c r="C558" s="16"/>
      <c r="D558" s="17"/>
      <c r="E558" s="15"/>
      <c r="F558" s="20"/>
      <c r="G558" s="21"/>
      <c r="H558" s="20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14"/>
      <c r="B559" s="15"/>
      <c r="C559" s="16"/>
      <c r="D559" s="17"/>
      <c r="E559" s="15"/>
      <c r="F559" s="20"/>
      <c r="G559" s="21"/>
      <c r="H559" s="20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14"/>
      <c r="B560" s="15"/>
      <c r="C560" s="16"/>
      <c r="D560" s="17"/>
      <c r="E560" s="15"/>
      <c r="F560" s="20"/>
      <c r="G560" s="21"/>
      <c r="H560" s="20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14"/>
      <c r="B561" s="15"/>
      <c r="C561" s="16"/>
      <c r="D561" s="17"/>
      <c r="E561" s="15"/>
      <c r="F561" s="20"/>
      <c r="G561" s="21"/>
      <c r="H561" s="20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14"/>
      <c r="B562" s="15"/>
      <c r="C562" s="16"/>
      <c r="D562" s="17"/>
      <c r="E562" s="15"/>
      <c r="F562" s="20"/>
      <c r="G562" s="21"/>
      <c r="H562" s="20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14"/>
      <c r="B563" s="15"/>
      <c r="C563" s="16"/>
      <c r="D563" s="17"/>
      <c r="E563" s="15"/>
      <c r="F563" s="20"/>
      <c r="G563" s="21"/>
      <c r="H563" s="20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14"/>
      <c r="B564" s="15"/>
      <c r="C564" s="16"/>
      <c r="D564" s="17"/>
      <c r="E564" s="15"/>
      <c r="F564" s="20"/>
      <c r="G564" s="21"/>
      <c r="H564" s="20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14"/>
      <c r="B565" s="15"/>
      <c r="C565" s="16"/>
      <c r="D565" s="17"/>
      <c r="E565" s="15"/>
      <c r="F565" s="20"/>
      <c r="G565" s="21"/>
      <c r="H565" s="20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14"/>
      <c r="B566" s="15"/>
      <c r="C566" s="16"/>
      <c r="D566" s="17"/>
      <c r="E566" s="15"/>
      <c r="F566" s="20"/>
      <c r="G566" s="21"/>
      <c r="H566" s="20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14"/>
      <c r="B567" s="15"/>
      <c r="C567" s="16"/>
      <c r="D567" s="17"/>
      <c r="E567" s="15"/>
      <c r="F567" s="20"/>
      <c r="G567" s="21"/>
      <c r="H567" s="20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14"/>
      <c r="B568" s="15"/>
      <c r="C568" s="16"/>
      <c r="D568" s="17"/>
      <c r="E568" s="15"/>
      <c r="F568" s="20"/>
      <c r="G568" s="21"/>
      <c r="H568" s="20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14"/>
      <c r="B569" s="15"/>
      <c r="C569" s="16"/>
      <c r="D569" s="17"/>
      <c r="E569" s="15"/>
      <c r="F569" s="20"/>
      <c r="G569" s="21"/>
      <c r="H569" s="20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14"/>
      <c r="B570" s="15"/>
      <c r="C570" s="16"/>
      <c r="D570" s="17"/>
      <c r="E570" s="15"/>
      <c r="F570" s="20"/>
      <c r="G570" s="21"/>
      <c r="H570" s="20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14"/>
      <c r="B571" s="15"/>
      <c r="C571" s="16"/>
      <c r="D571" s="17"/>
      <c r="E571" s="15"/>
      <c r="F571" s="20"/>
      <c r="G571" s="21"/>
      <c r="H571" s="20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14"/>
      <c r="B572" s="15"/>
      <c r="C572" s="16"/>
      <c r="D572" s="17"/>
      <c r="E572" s="15"/>
      <c r="F572" s="20"/>
      <c r="G572" s="21"/>
      <c r="H572" s="20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14"/>
      <c r="B573" s="15"/>
      <c r="C573" s="16"/>
      <c r="D573" s="17"/>
      <c r="E573" s="15"/>
      <c r="F573" s="20"/>
      <c r="G573" s="21"/>
      <c r="H573" s="20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14"/>
      <c r="B574" s="15"/>
      <c r="C574" s="16"/>
      <c r="D574" s="17"/>
      <c r="E574" s="15"/>
      <c r="F574" s="20"/>
      <c r="G574" s="21"/>
      <c r="H574" s="20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14"/>
      <c r="B575" s="15"/>
      <c r="C575" s="16"/>
      <c r="D575" s="17"/>
      <c r="E575" s="15"/>
      <c r="F575" s="20"/>
      <c r="G575" s="21"/>
      <c r="H575" s="20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14"/>
      <c r="B576" s="15"/>
      <c r="C576" s="16"/>
      <c r="D576" s="17"/>
      <c r="E576" s="15"/>
      <c r="F576" s="20"/>
      <c r="G576" s="21"/>
      <c r="H576" s="20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14"/>
      <c r="B577" s="15"/>
      <c r="C577" s="16"/>
      <c r="D577" s="17"/>
      <c r="E577" s="15"/>
      <c r="F577" s="20"/>
      <c r="G577" s="21"/>
      <c r="H577" s="20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14"/>
      <c r="B578" s="15"/>
      <c r="C578" s="16"/>
      <c r="D578" s="17"/>
      <c r="E578" s="15"/>
      <c r="F578" s="20"/>
      <c r="G578" s="21"/>
      <c r="H578" s="20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14"/>
      <c r="B579" s="15"/>
      <c r="C579" s="16"/>
      <c r="D579" s="17"/>
      <c r="E579" s="15"/>
      <c r="F579" s="20"/>
      <c r="G579" s="21"/>
      <c r="H579" s="20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14"/>
      <c r="B580" s="15"/>
      <c r="C580" s="16"/>
      <c r="D580" s="17"/>
      <c r="E580" s="15"/>
      <c r="F580" s="20"/>
      <c r="G580" s="21"/>
      <c r="H580" s="20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14"/>
      <c r="B581" s="15"/>
      <c r="C581" s="16"/>
      <c r="D581" s="17"/>
      <c r="E581" s="15"/>
      <c r="F581" s="20"/>
      <c r="G581" s="21"/>
      <c r="H581" s="20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14"/>
      <c r="B582" s="15"/>
      <c r="C582" s="16"/>
      <c r="D582" s="17"/>
      <c r="E582" s="15"/>
      <c r="F582" s="20"/>
      <c r="G582" s="21"/>
      <c r="H582" s="20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14"/>
      <c r="B583" s="15"/>
      <c r="C583" s="16"/>
      <c r="D583" s="17"/>
      <c r="E583" s="15"/>
      <c r="F583" s="20"/>
      <c r="G583" s="21"/>
      <c r="H583" s="20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14"/>
      <c r="B584" s="15"/>
      <c r="C584" s="16"/>
      <c r="D584" s="17"/>
      <c r="E584" s="15"/>
      <c r="F584" s="20"/>
      <c r="G584" s="21"/>
      <c r="H584" s="20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14"/>
      <c r="B585" s="15"/>
      <c r="C585" s="16"/>
      <c r="D585" s="17"/>
      <c r="E585" s="15"/>
      <c r="F585" s="20"/>
      <c r="G585" s="21"/>
      <c r="H585" s="20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14"/>
      <c r="B586" s="15"/>
      <c r="C586" s="16"/>
      <c r="D586" s="17"/>
      <c r="E586" s="15"/>
      <c r="F586" s="20"/>
      <c r="G586" s="21"/>
      <c r="H586" s="20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14"/>
      <c r="B587" s="15"/>
      <c r="C587" s="16"/>
      <c r="D587" s="17"/>
      <c r="E587" s="15"/>
      <c r="F587" s="20"/>
      <c r="G587" s="21"/>
      <c r="H587" s="20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14"/>
      <c r="B588" s="15"/>
      <c r="C588" s="16"/>
      <c r="D588" s="17"/>
      <c r="E588" s="15"/>
      <c r="F588" s="20"/>
      <c r="G588" s="21"/>
      <c r="H588" s="20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14"/>
      <c r="B589" s="15"/>
      <c r="C589" s="16"/>
      <c r="D589" s="17"/>
      <c r="E589" s="15"/>
      <c r="F589" s="20"/>
      <c r="G589" s="21"/>
      <c r="H589" s="20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14"/>
      <c r="B590" s="15"/>
      <c r="C590" s="16"/>
      <c r="D590" s="17"/>
      <c r="E590" s="15"/>
      <c r="F590" s="20"/>
      <c r="G590" s="21"/>
      <c r="H590" s="20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14"/>
      <c r="B591" s="15"/>
      <c r="C591" s="16"/>
      <c r="D591" s="17"/>
      <c r="E591" s="15"/>
      <c r="F591" s="20"/>
      <c r="G591" s="21"/>
      <c r="H591" s="20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14"/>
      <c r="B592" s="15"/>
      <c r="C592" s="16"/>
      <c r="D592" s="17"/>
      <c r="E592" s="15"/>
      <c r="F592" s="20"/>
      <c r="G592" s="21"/>
      <c r="H592" s="20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14"/>
      <c r="B593" s="15"/>
      <c r="C593" s="16"/>
      <c r="D593" s="17"/>
      <c r="E593" s="15"/>
      <c r="F593" s="20"/>
      <c r="G593" s="21"/>
      <c r="H593" s="20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14"/>
      <c r="B594" s="15"/>
      <c r="C594" s="16"/>
      <c r="D594" s="17"/>
      <c r="E594" s="15"/>
      <c r="F594" s="20"/>
      <c r="G594" s="21"/>
      <c r="H594" s="20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14"/>
      <c r="B595" s="15"/>
      <c r="C595" s="16"/>
      <c r="D595" s="17"/>
      <c r="E595" s="15"/>
      <c r="F595" s="20"/>
      <c r="G595" s="21"/>
      <c r="H595" s="20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14"/>
      <c r="B596" s="15"/>
      <c r="C596" s="16"/>
      <c r="D596" s="17"/>
      <c r="E596" s="15"/>
      <c r="F596" s="20"/>
      <c r="G596" s="21"/>
      <c r="H596" s="20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14"/>
      <c r="B597" s="15"/>
      <c r="C597" s="16"/>
      <c r="D597" s="17"/>
      <c r="E597" s="15"/>
      <c r="F597" s="20"/>
      <c r="G597" s="21"/>
      <c r="H597" s="20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14"/>
      <c r="B598" s="15"/>
      <c r="C598" s="16"/>
      <c r="D598" s="17"/>
      <c r="E598" s="15"/>
      <c r="F598" s="20"/>
      <c r="G598" s="21"/>
      <c r="H598" s="20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14"/>
      <c r="B599" s="15"/>
      <c r="C599" s="16"/>
      <c r="D599" s="17"/>
      <c r="E599" s="15"/>
      <c r="F599" s="20"/>
      <c r="G599" s="21"/>
      <c r="H599" s="20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14"/>
      <c r="B600" s="15"/>
      <c r="C600" s="16"/>
      <c r="D600" s="17"/>
      <c r="E600" s="15"/>
      <c r="F600" s="20"/>
      <c r="G600" s="21"/>
      <c r="H600" s="20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14"/>
      <c r="B601" s="15"/>
      <c r="C601" s="16"/>
      <c r="D601" s="17"/>
      <c r="E601" s="15"/>
      <c r="F601" s="20"/>
      <c r="G601" s="21"/>
      <c r="H601" s="20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14"/>
      <c r="B602" s="15"/>
      <c r="C602" s="16"/>
      <c r="D602" s="17"/>
      <c r="E602" s="15"/>
      <c r="F602" s="20"/>
      <c r="G602" s="21"/>
      <c r="H602" s="20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14"/>
      <c r="B603" s="15"/>
      <c r="C603" s="16"/>
      <c r="D603" s="17"/>
      <c r="E603" s="15"/>
      <c r="F603" s="20"/>
      <c r="G603" s="21"/>
      <c r="H603" s="20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14"/>
      <c r="B604" s="15"/>
      <c r="C604" s="16"/>
      <c r="D604" s="17"/>
      <c r="E604" s="15"/>
      <c r="F604" s="20"/>
      <c r="G604" s="21"/>
      <c r="H604" s="20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14"/>
      <c r="B605" s="15"/>
      <c r="C605" s="16"/>
      <c r="D605" s="17"/>
      <c r="E605" s="15"/>
      <c r="F605" s="20"/>
      <c r="G605" s="21"/>
      <c r="H605" s="20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14"/>
      <c r="B606" s="15"/>
      <c r="C606" s="16"/>
      <c r="D606" s="17"/>
      <c r="E606" s="15"/>
      <c r="F606" s="20"/>
      <c r="G606" s="21"/>
      <c r="H606" s="20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14"/>
      <c r="B607" s="15"/>
      <c r="C607" s="16"/>
      <c r="D607" s="17"/>
      <c r="E607" s="15"/>
      <c r="F607" s="20"/>
      <c r="G607" s="21"/>
      <c r="H607" s="20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14"/>
      <c r="B608" s="15"/>
      <c r="C608" s="16"/>
      <c r="D608" s="17"/>
      <c r="E608" s="15"/>
      <c r="F608" s="20"/>
      <c r="G608" s="21"/>
      <c r="H608" s="20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14"/>
      <c r="B609" s="15"/>
      <c r="C609" s="16"/>
      <c r="D609" s="17"/>
      <c r="E609" s="15"/>
      <c r="F609" s="20"/>
      <c r="G609" s="21"/>
      <c r="H609" s="20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14"/>
      <c r="B610" s="15"/>
      <c r="C610" s="16"/>
      <c r="D610" s="17"/>
      <c r="E610" s="15"/>
      <c r="F610" s="20"/>
      <c r="G610" s="21"/>
      <c r="H610" s="20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14"/>
      <c r="B611" s="15"/>
      <c r="C611" s="16"/>
      <c r="D611" s="17"/>
      <c r="E611" s="15"/>
      <c r="F611" s="20"/>
      <c r="G611" s="21"/>
      <c r="H611" s="20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14"/>
      <c r="B612" s="15"/>
      <c r="C612" s="16"/>
      <c r="D612" s="17"/>
      <c r="E612" s="15"/>
      <c r="F612" s="20"/>
      <c r="G612" s="21"/>
      <c r="H612" s="20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14"/>
      <c r="B613" s="15"/>
      <c r="C613" s="16"/>
      <c r="D613" s="17"/>
      <c r="E613" s="15"/>
      <c r="F613" s="20"/>
      <c r="G613" s="21"/>
      <c r="H613" s="20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14"/>
      <c r="B614" s="15"/>
      <c r="C614" s="16"/>
      <c r="D614" s="17"/>
      <c r="E614" s="15"/>
      <c r="F614" s="20"/>
      <c r="G614" s="21"/>
      <c r="H614" s="20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14"/>
      <c r="B615" s="15"/>
      <c r="C615" s="16"/>
      <c r="D615" s="17"/>
      <c r="E615" s="15"/>
      <c r="F615" s="20"/>
      <c r="G615" s="21"/>
      <c r="H615" s="20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14"/>
      <c r="B616" s="15"/>
      <c r="C616" s="16"/>
      <c r="D616" s="17"/>
      <c r="E616" s="15"/>
      <c r="F616" s="20"/>
      <c r="G616" s="21"/>
      <c r="H616" s="20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14"/>
      <c r="B617" s="15"/>
      <c r="C617" s="16"/>
      <c r="D617" s="17"/>
      <c r="E617" s="15"/>
      <c r="F617" s="20"/>
      <c r="G617" s="21"/>
      <c r="H617" s="20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14"/>
      <c r="B618" s="15"/>
      <c r="C618" s="16"/>
      <c r="D618" s="17"/>
      <c r="E618" s="15"/>
      <c r="F618" s="20"/>
      <c r="G618" s="21"/>
      <c r="H618" s="20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14"/>
      <c r="B619" s="15"/>
      <c r="C619" s="16"/>
      <c r="D619" s="17"/>
      <c r="E619" s="15"/>
      <c r="F619" s="20"/>
      <c r="G619" s="21"/>
      <c r="H619" s="20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14"/>
      <c r="B620" s="15"/>
      <c r="C620" s="16"/>
      <c r="D620" s="17"/>
      <c r="E620" s="15"/>
      <c r="F620" s="20"/>
      <c r="G620" s="21"/>
      <c r="H620" s="20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14"/>
      <c r="B621" s="15"/>
      <c r="C621" s="16"/>
      <c r="D621" s="17"/>
      <c r="E621" s="15"/>
      <c r="F621" s="20"/>
      <c r="G621" s="21"/>
      <c r="H621" s="20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14"/>
      <c r="B622" s="15"/>
      <c r="C622" s="16"/>
      <c r="D622" s="17"/>
      <c r="E622" s="15"/>
      <c r="F622" s="20"/>
      <c r="G622" s="21"/>
      <c r="H622" s="20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14"/>
      <c r="B623" s="15"/>
      <c r="C623" s="16"/>
      <c r="D623" s="17"/>
      <c r="E623" s="15"/>
      <c r="F623" s="20"/>
      <c r="G623" s="21"/>
      <c r="H623" s="20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14"/>
      <c r="B624" s="15"/>
      <c r="C624" s="16"/>
      <c r="D624" s="17"/>
      <c r="E624" s="15"/>
      <c r="F624" s="20"/>
      <c r="G624" s="21"/>
      <c r="H624" s="20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14"/>
      <c r="B625" s="15"/>
      <c r="C625" s="16"/>
      <c r="D625" s="17"/>
      <c r="E625" s="15"/>
      <c r="F625" s="20"/>
      <c r="G625" s="21"/>
      <c r="H625" s="20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14"/>
      <c r="B626" s="15"/>
      <c r="C626" s="16"/>
      <c r="D626" s="17"/>
      <c r="E626" s="15"/>
      <c r="F626" s="20"/>
      <c r="G626" s="21"/>
      <c r="H626" s="20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14"/>
      <c r="B627" s="15"/>
      <c r="C627" s="16"/>
      <c r="D627" s="17"/>
      <c r="E627" s="15"/>
      <c r="F627" s="20"/>
      <c r="G627" s="21"/>
      <c r="H627" s="20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14"/>
      <c r="B628" s="15"/>
      <c r="C628" s="16"/>
      <c r="D628" s="17"/>
      <c r="E628" s="15"/>
      <c r="F628" s="20"/>
      <c r="G628" s="21"/>
      <c r="H628" s="20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14"/>
      <c r="B629" s="15"/>
      <c r="C629" s="16"/>
      <c r="D629" s="17"/>
      <c r="E629" s="15"/>
      <c r="F629" s="20"/>
      <c r="G629" s="21"/>
      <c r="H629" s="20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14"/>
      <c r="B630" s="15"/>
      <c r="C630" s="16"/>
      <c r="D630" s="17"/>
      <c r="E630" s="15"/>
      <c r="F630" s="20"/>
      <c r="G630" s="21"/>
      <c r="H630" s="20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14"/>
      <c r="B631" s="15"/>
      <c r="C631" s="16"/>
      <c r="D631" s="17"/>
      <c r="E631" s="15"/>
      <c r="F631" s="20"/>
      <c r="G631" s="21"/>
      <c r="H631" s="20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14"/>
      <c r="B632" s="15"/>
      <c r="C632" s="16"/>
      <c r="D632" s="17"/>
      <c r="E632" s="15"/>
      <c r="F632" s="20"/>
      <c r="G632" s="21"/>
      <c r="H632" s="20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14"/>
      <c r="B633" s="15"/>
      <c r="C633" s="16"/>
      <c r="D633" s="17"/>
      <c r="E633" s="15"/>
      <c r="F633" s="20"/>
      <c r="G633" s="21"/>
      <c r="H633" s="20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14"/>
      <c r="B634" s="15"/>
      <c r="C634" s="16"/>
      <c r="D634" s="17"/>
      <c r="E634" s="15"/>
      <c r="F634" s="20"/>
      <c r="G634" s="21"/>
      <c r="H634" s="20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14"/>
      <c r="B635" s="15"/>
      <c r="C635" s="16"/>
      <c r="D635" s="17"/>
      <c r="E635" s="15"/>
      <c r="F635" s="20"/>
      <c r="G635" s="21"/>
      <c r="H635" s="20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14"/>
      <c r="B636" s="15"/>
      <c r="C636" s="16"/>
      <c r="D636" s="17"/>
      <c r="E636" s="15"/>
      <c r="F636" s="20"/>
      <c r="G636" s="21"/>
      <c r="H636" s="20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14"/>
      <c r="B637" s="15"/>
      <c r="C637" s="16"/>
      <c r="D637" s="17"/>
      <c r="E637" s="15"/>
      <c r="F637" s="20"/>
      <c r="G637" s="21"/>
      <c r="H637" s="20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14"/>
      <c r="B638" s="15"/>
      <c r="C638" s="16"/>
      <c r="D638" s="17"/>
      <c r="E638" s="15"/>
      <c r="F638" s="20"/>
      <c r="G638" s="21"/>
      <c r="H638" s="20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14"/>
      <c r="B639" s="15"/>
      <c r="C639" s="16"/>
      <c r="D639" s="17"/>
      <c r="E639" s="15"/>
      <c r="F639" s="20"/>
      <c r="G639" s="21"/>
      <c r="H639" s="20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14"/>
      <c r="B640" s="15"/>
      <c r="C640" s="16"/>
      <c r="D640" s="17"/>
      <c r="E640" s="15"/>
      <c r="F640" s="20"/>
      <c r="G640" s="21"/>
      <c r="H640" s="20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14"/>
      <c r="B641" s="15"/>
      <c r="C641" s="16"/>
      <c r="D641" s="17"/>
      <c r="E641" s="15"/>
      <c r="F641" s="20"/>
      <c r="G641" s="21"/>
      <c r="H641" s="20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14"/>
      <c r="B642" s="15"/>
      <c r="C642" s="16"/>
      <c r="D642" s="17"/>
      <c r="E642" s="15"/>
      <c r="F642" s="20"/>
      <c r="G642" s="21"/>
      <c r="H642" s="20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14"/>
      <c r="B643" s="15"/>
      <c r="C643" s="16"/>
      <c r="D643" s="17"/>
      <c r="E643" s="15"/>
      <c r="F643" s="20"/>
      <c r="G643" s="21"/>
      <c r="H643" s="20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14"/>
      <c r="B644" s="15"/>
      <c r="C644" s="16"/>
      <c r="D644" s="17"/>
      <c r="E644" s="15"/>
      <c r="F644" s="20"/>
      <c r="G644" s="21"/>
      <c r="H644" s="20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14"/>
      <c r="B645" s="15"/>
      <c r="C645" s="16"/>
      <c r="D645" s="17"/>
      <c r="E645" s="15"/>
      <c r="F645" s="20"/>
      <c r="G645" s="21"/>
      <c r="H645" s="20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14"/>
      <c r="B646" s="15"/>
      <c r="C646" s="16"/>
      <c r="D646" s="17"/>
      <c r="E646" s="15"/>
      <c r="F646" s="20"/>
      <c r="G646" s="21"/>
      <c r="H646" s="20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14"/>
      <c r="B647" s="15"/>
      <c r="C647" s="16"/>
      <c r="D647" s="17"/>
      <c r="E647" s="15"/>
      <c r="F647" s="20"/>
      <c r="G647" s="21"/>
      <c r="H647" s="20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14"/>
      <c r="B648" s="15"/>
      <c r="C648" s="16"/>
      <c r="D648" s="17"/>
      <c r="E648" s="15"/>
      <c r="F648" s="20"/>
      <c r="G648" s="21"/>
      <c r="H648" s="20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14"/>
      <c r="B649" s="15"/>
      <c r="C649" s="16"/>
      <c r="D649" s="17"/>
      <c r="E649" s="15"/>
      <c r="F649" s="20"/>
      <c r="G649" s="21"/>
      <c r="H649" s="20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14"/>
      <c r="B650" s="15"/>
      <c r="C650" s="16"/>
      <c r="D650" s="17"/>
      <c r="E650" s="15"/>
      <c r="F650" s="20"/>
      <c r="G650" s="21"/>
      <c r="H650" s="20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14"/>
      <c r="B651" s="15"/>
      <c r="C651" s="16"/>
      <c r="D651" s="17"/>
      <c r="E651" s="15"/>
      <c r="F651" s="20"/>
      <c r="G651" s="21"/>
      <c r="H651" s="20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14"/>
      <c r="B652" s="15"/>
      <c r="C652" s="16"/>
      <c r="D652" s="17"/>
      <c r="E652" s="15"/>
      <c r="F652" s="20"/>
      <c r="G652" s="21"/>
      <c r="H652" s="20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14"/>
      <c r="B653" s="15"/>
      <c r="C653" s="16"/>
      <c r="D653" s="17"/>
      <c r="E653" s="15"/>
      <c r="F653" s="20"/>
      <c r="G653" s="21"/>
      <c r="H653" s="20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14"/>
      <c r="B654" s="15"/>
      <c r="C654" s="16"/>
      <c r="D654" s="17"/>
      <c r="E654" s="15"/>
      <c r="F654" s="20"/>
      <c r="G654" s="21"/>
      <c r="H654" s="20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14"/>
      <c r="B655" s="15"/>
      <c r="C655" s="16"/>
      <c r="D655" s="17"/>
      <c r="E655" s="15"/>
      <c r="F655" s="20"/>
      <c r="G655" s="21"/>
      <c r="H655" s="20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14"/>
      <c r="B656" s="15"/>
      <c r="C656" s="16"/>
      <c r="D656" s="17"/>
      <c r="E656" s="15"/>
      <c r="F656" s="20"/>
      <c r="G656" s="21"/>
      <c r="H656" s="20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14"/>
      <c r="B657" s="15"/>
      <c r="C657" s="16"/>
      <c r="D657" s="17"/>
      <c r="E657" s="15"/>
      <c r="F657" s="20"/>
      <c r="G657" s="21"/>
      <c r="H657" s="20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14"/>
      <c r="B658" s="15"/>
      <c r="C658" s="16"/>
      <c r="D658" s="17"/>
      <c r="E658" s="15"/>
      <c r="F658" s="20"/>
      <c r="G658" s="21"/>
      <c r="H658" s="20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14"/>
      <c r="B659" s="15"/>
      <c r="C659" s="16"/>
      <c r="D659" s="17"/>
      <c r="E659" s="15"/>
      <c r="F659" s="20"/>
      <c r="G659" s="21"/>
      <c r="H659" s="20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14"/>
      <c r="B660" s="15"/>
      <c r="C660" s="16"/>
      <c r="D660" s="17"/>
      <c r="E660" s="15"/>
      <c r="F660" s="20"/>
      <c r="G660" s="21"/>
      <c r="H660" s="20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14"/>
      <c r="B661" s="15"/>
      <c r="C661" s="16"/>
      <c r="D661" s="17"/>
      <c r="E661" s="15"/>
      <c r="F661" s="20"/>
      <c r="G661" s="21"/>
      <c r="H661" s="20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14"/>
      <c r="B662" s="15"/>
      <c r="C662" s="16"/>
      <c r="D662" s="17"/>
      <c r="E662" s="15"/>
      <c r="F662" s="20"/>
      <c r="G662" s="21"/>
      <c r="H662" s="20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14"/>
      <c r="B663" s="15"/>
      <c r="C663" s="16"/>
      <c r="D663" s="17"/>
      <c r="E663" s="15"/>
      <c r="F663" s="20"/>
      <c r="G663" s="21"/>
      <c r="H663" s="20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14"/>
      <c r="B664" s="15"/>
      <c r="C664" s="16"/>
      <c r="D664" s="17"/>
      <c r="E664" s="15"/>
      <c r="F664" s="20"/>
      <c r="G664" s="21"/>
      <c r="H664" s="20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14"/>
      <c r="B665" s="15"/>
      <c r="C665" s="16"/>
      <c r="D665" s="17"/>
      <c r="E665" s="15"/>
      <c r="F665" s="20"/>
      <c r="G665" s="21"/>
      <c r="H665" s="20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14"/>
      <c r="B666" s="15"/>
      <c r="C666" s="16"/>
      <c r="D666" s="17"/>
      <c r="E666" s="15"/>
      <c r="F666" s="20"/>
      <c r="G666" s="21"/>
      <c r="H666" s="20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14"/>
      <c r="B667" s="15"/>
      <c r="C667" s="16"/>
      <c r="D667" s="17"/>
      <c r="E667" s="15"/>
      <c r="F667" s="20"/>
      <c r="G667" s="21"/>
      <c r="H667" s="20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14"/>
      <c r="B668" s="15"/>
      <c r="C668" s="16"/>
      <c r="D668" s="17"/>
      <c r="E668" s="15"/>
      <c r="F668" s="20"/>
      <c r="G668" s="21"/>
      <c r="H668" s="20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14"/>
      <c r="B669" s="15"/>
      <c r="C669" s="16"/>
      <c r="D669" s="17"/>
      <c r="E669" s="15"/>
      <c r="F669" s="20"/>
      <c r="G669" s="21"/>
      <c r="H669" s="20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14"/>
      <c r="B670" s="15"/>
      <c r="C670" s="16"/>
      <c r="D670" s="17"/>
      <c r="E670" s="15"/>
      <c r="F670" s="20"/>
      <c r="G670" s="21"/>
      <c r="H670" s="20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14"/>
      <c r="B671" s="15"/>
      <c r="C671" s="16"/>
      <c r="D671" s="17"/>
      <c r="E671" s="15"/>
      <c r="F671" s="20"/>
      <c r="G671" s="21"/>
      <c r="H671" s="20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14"/>
      <c r="B672" s="15"/>
      <c r="C672" s="16"/>
      <c r="D672" s="17"/>
      <c r="E672" s="15"/>
      <c r="F672" s="20"/>
      <c r="G672" s="21"/>
      <c r="H672" s="20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14"/>
      <c r="B673" s="15"/>
      <c r="C673" s="16"/>
      <c r="D673" s="17"/>
      <c r="E673" s="15"/>
      <c r="F673" s="20"/>
      <c r="G673" s="21"/>
      <c r="H673" s="20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14"/>
      <c r="B674" s="15"/>
      <c r="C674" s="16"/>
      <c r="D674" s="17"/>
      <c r="E674" s="15"/>
      <c r="F674" s="20"/>
      <c r="G674" s="21"/>
      <c r="H674" s="20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14"/>
      <c r="B675" s="15"/>
      <c r="C675" s="16"/>
      <c r="D675" s="17"/>
      <c r="E675" s="15"/>
      <c r="F675" s="20"/>
      <c r="G675" s="21"/>
      <c r="H675" s="20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14"/>
      <c r="B676" s="15"/>
      <c r="C676" s="16"/>
      <c r="D676" s="17"/>
      <c r="E676" s="15"/>
      <c r="F676" s="20"/>
      <c r="G676" s="21"/>
      <c r="H676" s="20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14"/>
      <c r="B677" s="15"/>
      <c r="C677" s="16"/>
      <c r="D677" s="17"/>
      <c r="E677" s="15"/>
      <c r="F677" s="20"/>
      <c r="G677" s="21"/>
      <c r="H677" s="20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14"/>
      <c r="B678" s="15"/>
      <c r="C678" s="16"/>
      <c r="D678" s="17"/>
      <c r="E678" s="15"/>
      <c r="F678" s="20"/>
      <c r="G678" s="21"/>
      <c r="H678" s="20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14"/>
      <c r="B679" s="15"/>
      <c r="C679" s="16"/>
      <c r="D679" s="17"/>
      <c r="E679" s="15"/>
      <c r="F679" s="20"/>
      <c r="G679" s="21"/>
      <c r="H679" s="20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14"/>
      <c r="B680" s="15"/>
      <c r="C680" s="16"/>
      <c r="D680" s="17"/>
      <c r="E680" s="15"/>
      <c r="F680" s="20"/>
      <c r="G680" s="21"/>
      <c r="H680" s="20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14"/>
      <c r="B681" s="15"/>
      <c r="C681" s="16"/>
      <c r="D681" s="17"/>
      <c r="E681" s="15"/>
      <c r="F681" s="20"/>
      <c r="G681" s="21"/>
      <c r="H681" s="20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14"/>
      <c r="B682" s="15"/>
      <c r="C682" s="16"/>
      <c r="D682" s="17"/>
      <c r="E682" s="15"/>
      <c r="F682" s="20"/>
      <c r="G682" s="21"/>
      <c r="H682" s="20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14"/>
      <c r="B683" s="15"/>
      <c r="C683" s="16"/>
      <c r="D683" s="17"/>
      <c r="E683" s="15"/>
      <c r="F683" s="20"/>
      <c r="G683" s="21"/>
      <c r="H683" s="20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14"/>
      <c r="B684" s="15"/>
      <c r="C684" s="16"/>
      <c r="D684" s="17"/>
      <c r="E684" s="15"/>
      <c r="F684" s="20"/>
      <c r="G684" s="21"/>
      <c r="H684" s="20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14"/>
      <c r="B685" s="15"/>
      <c r="C685" s="16"/>
      <c r="D685" s="17"/>
      <c r="E685" s="15"/>
      <c r="F685" s="20"/>
      <c r="G685" s="21"/>
      <c r="H685" s="20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14"/>
      <c r="B686" s="15"/>
      <c r="C686" s="16"/>
      <c r="D686" s="17"/>
      <c r="E686" s="15"/>
      <c r="F686" s="20"/>
      <c r="G686" s="21"/>
      <c r="H686" s="20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14"/>
      <c r="B687" s="15"/>
      <c r="C687" s="16"/>
      <c r="D687" s="17"/>
      <c r="E687" s="15"/>
      <c r="F687" s="20"/>
      <c r="G687" s="21"/>
      <c r="H687" s="20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14"/>
      <c r="B688" s="15"/>
      <c r="C688" s="16"/>
      <c r="D688" s="17"/>
      <c r="E688" s="15"/>
      <c r="F688" s="20"/>
      <c r="G688" s="21"/>
      <c r="H688" s="20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14"/>
      <c r="B689" s="15"/>
      <c r="C689" s="16"/>
      <c r="D689" s="17"/>
      <c r="E689" s="15"/>
      <c r="F689" s="20"/>
      <c r="G689" s="21"/>
      <c r="H689" s="20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14"/>
      <c r="B690" s="15"/>
      <c r="C690" s="16"/>
      <c r="D690" s="17"/>
      <c r="E690" s="15"/>
      <c r="F690" s="20"/>
      <c r="G690" s="21"/>
      <c r="H690" s="20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14"/>
      <c r="B691" s="15"/>
      <c r="C691" s="16"/>
      <c r="D691" s="17"/>
      <c r="E691" s="15"/>
      <c r="F691" s="20"/>
      <c r="G691" s="21"/>
      <c r="H691" s="20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14"/>
      <c r="B692" s="15"/>
      <c r="C692" s="16"/>
      <c r="D692" s="17"/>
      <c r="E692" s="15"/>
      <c r="F692" s="20"/>
      <c r="G692" s="21"/>
      <c r="H692" s="20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14"/>
      <c r="B693" s="15"/>
      <c r="C693" s="16"/>
      <c r="D693" s="17"/>
      <c r="E693" s="15"/>
      <c r="F693" s="20"/>
      <c r="G693" s="21"/>
      <c r="H693" s="20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14"/>
      <c r="B694" s="15"/>
      <c r="C694" s="16"/>
      <c r="D694" s="17"/>
      <c r="E694" s="15"/>
      <c r="F694" s="20"/>
      <c r="G694" s="21"/>
      <c r="H694" s="20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14"/>
      <c r="B695" s="15"/>
      <c r="C695" s="16"/>
      <c r="D695" s="17"/>
      <c r="E695" s="15"/>
      <c r="F695" s="20"/>
      <c r="G695" s="21"/>
      <c r="H695" s="20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14"/>
      <c r="B696" s="15"/>
      <c r="C696" s="16"/>
      <c r="D696" s="17"/>
      <c r="E696" s="15"/>
      <c r="F696" s="20"/>
      <c r="G696" s="21"/>
      <c r="H696" s="20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14"/>
      <c r="B697" s="15"/>
      <c r="C697" s="16"/>
      <c r="D697" s="17"/>
      <c r="E697" s="15"/>
      <c r="F697" s="20"/>
      <c r="G697" s="21"/>
      <c r="H697" s="20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14"/>
      <c r="B698" s="15"/>
      <c r="C698" s="16"/>
      <c r="D698" s="17"/>
      <c r="E698" s="15"/>
      <c r="F698" s="20"/>
      <c r="G698" s="21"/>
      <c r="H698" s="20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14"/>
      <c r="B699" s="15"/>
      <c r="C699" s="16"/>
      <c r="D699" s="17"/>
      <c r="E699" s="15"/>
      <c r="F699" s="20"/>
      <c r="G699" s="21"/>
      <c r="H699" s="20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14"/>
      <c r="B700" s="15"/>
      <c r="C700" s="16"/>
      <c r="D700" s="17"/>
      <c r="E700" s="15"/>
      <c r="F700" s="20"/>
      <c r="G700" s="21"/>
      <c r="H700" s="20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C701" s="22"/>
      <c r="D701" s="23"/>
    </row>
    <row r="702" spans="1:26" ht="15.75" customHeight="1">
      <c r="C702" s="22"/>
      <c r="D702" s="23"/>
    </row>
    <row r="703" spans="1:26" ht="15.75" customHeight="1">
      <c r="C703" s="22"/>
      <c r="D703" s="23"/>
    </row>
    <row r="704" spans="1:26" ht="15.75" customHeight="1">
      <c r="C704" s="22"/>
      <c r="D704" s="23"/>
    </row>
    <row r="705" spans="3:4" ht="15.75" customHeight="1">
      <c r="C705" s="22"/>
      <c r="D705" s="23"/>
    </row>
    <row r="706" spans="3:4" ht="15.75" customHeight="1">
      <c r="C706" s="22"/>
      <c r="D706" s="23"/>
    </row>
    <row r="707" spans="3:4" ht="15.75" customHeight="1">
      <c r="C707" s="22"/>
      <c r="D707" s="23"/>
    </row>
    <row r="708" spans="3:4" ht="15.75" customHeight="1">
      <c r="C708" s="22"/>
      <c r="D708" s="23"/>
    </row>
    <row r="709" spans="3:4" ht="15.75" customHeight="1">
      <c r="C709" s="22"/>
      <c r="D709" s="23"/>
    </row>
    <row r="710" spans="3:4" ht="15.75" customHeight="1">
      <c r="C710" s="22"/>
      <c r="D710" s="23"/>
    </row>
    <row r="711" spans="3:4" ht="15.75" customHeight="1">
      <c r="C711" s="22"/>
      <c r="D711" s="23"/>
    </row>
    <row r="712" spans="3:4" ht="15.75" customHeight="1">
      <c r="C712" s="22"/>
      <c r="D712" s="23"/>
    </row>
    <row r="713" spans="3:4" ht="15.75" customHeight="1">
      <c r="C713" s="22"/>
      <c r="D713" s="23"/>
    </row>
    <row r="714" spans="3:4" ht="15.75" customHeight="1">
      <c r="C714" s="22"/>
      <c r="D714" s="23"/>
    </row>
    <row r="715" spans="3:4" ht="15.75" customHeight="1">
      <c r="C715" s="22"/>
      <c r="D715" s="23"/>
    </row>
    <row r="716" spans="3:4" ht="15.75" customHeight="1">
      <c r="C716" s="22"/>
      <c r="D716" s="23"/>
    </row>
    <row r="717" spans="3:4" ht="15.75" customHeight="1">
      <c r="C717" s="22"/>
      <c r="D717" s="23"/>
    </row>
    <row r="718" spans="3:4" ht="15.75" customHeight="1">
      <c r="C718" s="22"/>
      <c r="D718" s="23"/>
    </row>
    <row r="719" spans="3:4" ht="15.75" customHeight="1">
      <c r="C719" s="22"/>
      <c r="D719" s="23"/>
    </row>
    <row r="720" spans="3:4" ht="15.75" customHeight="1">
      <c r="C720" s="22"/>
      <c r="D720" s="23"/>
    </row>
    <row r="721" spans="3:4" ht="15.75" customHeight="1">
      <c r="C721" s="22"/>
      <c r="D721" s="23"/>
    </row>
    <row r="722" spans="3:4" ht="15.75" customHeight="1">
      <c r="C722" s="22"/>
      <c r="D722" s="23"/>
    </row>
    <row r="723" spans="3:4" ht="15.75" customHeight="1">
      <c r="C723" s="22"/>
      <c r="D723" s="23"/>
    </row>
    <row r="724" spans="3:4" ht="15.75" customHeight="1">
      <c r="C724" s="22"/>
      <c r="D724" s="23"/>
    </row>
    <row r="725" spans="3:4" ht="15.75" customHeight="1">
      <c r="C725" s="22"/>
      <c r="D725" s="23"/>
    </row>
    <row r="726" spans="3:4" ht="15.75" customHeight="1">
      <c r="C726" s="22"/>
      <c r="D726" s="23"/>
    </row>
    <row r="727" spans="3:4" ht="15.75" customHeight="1">
      <c r="C727" s="22"/>
      <c r="D727" s="23"/>
    </row>
    <row r="728" spans="3:4" ht="15.75" customHeight="1">
      <c r="C728" s="22"/>
      <c r="D728" s="23"/>
    </row>
    <row r="729" spans="3:4" ht="15.75" customHeight="1">
      <c r="C729" s="22"/>
      <c r="D729" s="23"/>
    </row>
    <row r="730" spans="3:4" ht="15.75" customHeight="1">
      <c r="C730" s="22"/>
      <c r="D730" s="23"/>
    </row>
    <row r="731" spans="3:4" ht="15.75" customHeight="1">
      <c r="C731" s="22"/>
      <c r="D731" s="23"/>
    </row>
    <row r="732" spans="3:4" ht="15.75" customHeight="1">
      <c r="C732" s="22"/>
      <c r="D732" s="23"/>
    </row>
    <row r="733" spans="3:4" ht="15.75" customHeight="1">
      <c r="C733" s="22"/>
      <c r="D733" s="23"/>
    </row>
    <row r="734" spans="3:4" ht="15.75" customHeight="1">
      <c r="C734" s="22"/>
      <c r="D734" s="23"/>
    </row>
    <row r="735" spans="3:4" ht="15.75" customHeight="1">
      <c r="C735" s="22"/>
      <c r="D735" s="23"/>
    </row>
    <row r="736" spans="3:4" ht="15.75" customHeight="1">
      <c r="C736" s="22"/>
      <c r="D736" s="23"/>
    </row>
    <row r="737" spans="3:4" ht="15.75" customHeight="1">
      <c r="C737" s="22"/>
      <c r="D737" s="23"/>
    </row>
    <row r="738" spans="3:4" ht="15.75" customHeight="1">
      <c r="C738" s="22"/>
      <c r="D738" s="23"/>
    </row>
    <row r="739" spans="3:4" ht="15.75" customHeight="1">
      <c r="C739" s="22"/>
      <c r="D739" s="23"/>
    </row>
    <row r="740" spans="3:4" ht="15.75" customHeight="1">
      <c r="C740" s="22"/>
      <c r="D740" s="23"/>
    </row>
    <row r="741" spans="3:4" ht="15.75" customHeight="1">
      <c r="C741" s="22"/>
      <c r="D741" s="23"/>
    </row>
    <row r="742" spans="3:4" ht="15.75" customHeight="1">
      <c r="C742" s="22"/>
      <c r="D742" s="23"/>
    </row>
    <row r="743" spans="3:4" ht="15.75" customHeight="1">
      <c r="C743" s="22"/>
      <c r="D743" s="23"/>
    </row>
    <row r="744" spans="3:4" ht="15.75" customHeight="1">
      <c r="C744" s="22"/>
      <c r="D744" s="23"/>
    </row>
    <row r="745" spans="3:4" ht="15.75" customHeight="1">
      <c r="C745" s="22"/>
      <c r="D745" s="23"/>
    </row>
    <row r="746" spans="3:4" ht="15.75" customHeight="1">
      <c r="C746" s="22"/>
      <c r="D746" s="23"/>
    </row>
    <row r="747" spans="3:4" ht="15.75" customHeight="1">
      <c r="C747" s="22"/>
      <c r="D747" s="23"/>
    </row>
    <row r="748" spans="3:4" ht="15.75" customHeight="1">
      <c r="C748" s="22"/>
      <c r="D748" s="23"/>
    </row>
    <row r="749" spans="3:4" ht="15.75" customHeight="1">
      <c r="C749" s="22"/>
      <c r="D749" s="23"/>
    </row>
    <row r="750" spans="3:4" ht="15.75" customHeight="1">
      <c r="C750" s="22"/>
      <c r="D750" s="23"/>
    </row>
    <row r="751" spans="3:4" ht="15.75" customHeight="1">
      <c r="C751" s="22"/>
      <c r="D751" s="23"/>
    </row>
    <row r="752" spans="3:4" ht="15.75" customHeight="1">
      <c r="C752" s="22"/>
      <c r="D752" s="23"/>
    </row>
    <row r="753" spans="3:4" ht="15.75" customHeight="1">
      <c r="C753" s="22"/>
      <c r="D753" s="23"/>
    </row>
    <row r="754" spans="3:4" ht="15.75" customHeight="1">
      <c r="C754" s="22"/>
      <c r="D754" s="23"/>
    </row>
    <row r="755" spans="3:4" ht="15.75" customHeight="1">
      <c r="C755" s="22"/>
      <c r="D755" s="23"/>
    </row>
    <row r="756" spans="3:4" ht="15.75" customHeight="1">
      <c r="C756" s="22"/>
      <c r="D756" s="23"/>
    </row>
    <row r="757" spans="3:4" ht="15.75" customHeight="1">
      <c r="C757" s="22"/>
      <c r="D757" s="23"/>
    </row>
    <row r="758" spans="3:4" ht="15.75" customHeight="1">
      <c r="C758" s="22"/>
      <c r="D758" s="23"/>
    </row>
    <row r="759" spans="3:4" ht="15.75" customHeight="1">
      <c r="C759" s="22"/>
      <c r="D759" s="23"/>
    </row>
    <row r="760" spans="3:4" ht="15.75" customHeight="1">
      <c r="C760" s="22"/>
      <c r="D760" s="23"/>
    </row>
    <row r="761" spans="3:4" ht="15.75" customHeight="1">
      <c r="C761" s="22"/>
      <c r="D761" s="23"/>
    </row>
    <row r="762" spans="3:4" ht="15.75" customHeight="1">
      <c r="C762" s="22"/>
      <c r="D762" s="23"/>
    </row>
    <row r="763" spans="3:4" ht="15.75" customHeight="1">
      <c r="C763" s="22"/>
      <c r="D763" s="23"/>
    </row>
    <row r="764" spans="3:4" ht="15.75" customHeight="1">
      <c r="C764" s="22"/>
      <c r="D764" s="23"/>
    </row>
    <row r="765" spans="3:4" ht="15.75" customHeight="1">
      <c r="C765" s="22"/>
      <c r="D765" s="23"/>
    </row>
    <row r="766" spans="3:4" ht="15.75" customHeight="1">
      <c r="C766" s="22"/>
      <c r="D766" s="23"/>
    </row>
    <row r="767" spans="3:4" ht="15.75" customHeight="1">
      <c r="C767" s="22"/>
      <c r="D767" s="23"/>
    </row>
    <row r="768" spans="3:4" ht="15.75" customHeight="1">
      <c r="C768" s="22"/>
      <c r="D768" s="23"/>
    </row>
    <row r="769" spans="3:4" ht="15.75" customHeight="1">
      <c r="C769" s="22"/>
      <c r="D769" s="23"/>
    </row>
    <row r="770" spans="3:4" ht="15.75" customHeight="1">
      <c r="C770" s="22"/>
      <c r="D770" s="23"/>
    </row>
    <row r="771" spans="3:4" ht="15.75" customHeight="1">
      <c r="C771" s="22"/>
      <c r="D771" s="23"/>
    </row>
    <row r="772" spans="3:4" ht="15.75" customHeight="1">
      <c r="C772" s="22"/>
      <c r="D772" s="23"/>
    </row>
    <row r="773" spans="3:4" ht="15.75" customHeight="1">
      <c r="C773" s="22"/>
      <c r="D773" s="23"/>
    </row>
    <row r="774" spans="3:4" ht="15.75" customHeight="1">
      <c r="C774" s="22"/>
      <c r="D774" s="23"/>
    </row>
    <row r="775" spans="3:4" ht="15.75" customHeight="1">
      <c r="C775" s="22"/>
      <c r="D775" s="23"/>
    </row>
    <row r="776" spans="3:4" ht="15.75" customHeight="1">
      <c r="C776" s="22"/>
      <c r="D776" s="23"/>
    </row>
    <row r="777" spans="3:4" ht="15.75" customHeight="1">
      <c r="C777" s="22"/>
      <c r="D777" s="23"/>
    </row>
    <row r="778" spans="3:4" ht="15.75" customHeight="1">
      <c r="C778" s="22"/>
      <c r="D778" s="23"/>
    </row>
    <row r="779" spans="3:4" ht="15.75" customHeight="1">
      <c r="C779" s="22"/>
      <c r="D779" s="23"/>
    </row>
    <row r="780" spans="3:4" ht="15.75" customHeight="1">
      <c r="C780" s="22"/>
      <c r="D780" s="23"/>
    </row>
    <row r="781" spans="3:4" ht="15.75" customHeight="1">
      <c r="C781" s="22"/>
      <c r="D781" s="23"/>
    </row>
    <row r="782" spans="3:4" ht="15.75" customHeight="1">
      <c r="C782" s="22"/>
      <c r="D782" s="23"/>
    </row>
    <row r="783" spans="3:4" ht="15.75" customHeight="1">
      <c r="C783" s="22"/>
      <c r="D783" s="23"/>
    </row>
    <row r="784" spans="3:4" ht="15.75" customHeight="1">
      <c r="C784" s="22"/>
      <c r="D784" s="23"/>
    </row>
    <row r="785" spans="3:4" ht="15.75" customHeight="1">
      <c r="C785" s="22"/>
      <c r="D785" s="23"/>
    </row>
    <row r="786" spans="3:4" ht="15.75" customHeight="1">
      <c r="C786" s="22"/>
      <c r="D786" s="23"/>
    </row>
    <row r="787" spans="3:4" ht="15.75" customHeight="1">
      <c r="C787" s="22"/>
      <c r="D787" s="23"/>
    </row>
    <row r="788" spans="3:4" ht="15.75" customHeight="1">
      <c r="C788" s="22"/>
      <c r="D788" s="23"/>
    </row>
    <row r="789" spans="3:4" ht="15.75" customHeight="1">
      <c r="C789" s="22"/>
      <c r="D789" s="23"/>
    </row>
    <row r="790" spans="3:4" ht="15.75" customHeight="1">
      <c r="C790" s="22"/>
      <c r="D790" s="23"/>
    </row>
    <row r="791" spans="3:4" ht="15.75" customHeight="1">
      <c r="C791" s="22"/>
      <c r="D791" s="23"/>
    </row>
    <row r="792" spans="3:4" ht="15.75" customHeight="1">
      <c r="C792" s="22"/>
      <c r="D792" s="23"/>
    </row>
    <row r="793" spans="3:4" ht="15.75" customHeight="1">
      <c r="C793" s="22"/>
      <c r="D793" s="23"/>
    </row>
    <row r="794" spans="3:4" ht="15.75" customHeight="1">
      <c r="C794" s="22"/>
      <c r="D794" s="23"/>
    </row>
    <row r="795" spans="3:4" ht="15.75" customHeight="1">
      <c r="C795" s="22"/>
      <c r="D795" s="23"/>
    </row>
    <row r="796" spans="3:4" ht="15.75" customHeight="1">
      <c r="C796" s="22"/>
      <c r="D796" s="23"/>
    </row>
    <row r="797" spans="3:4" ht="15.75" customHeight="1">
      <c r="C797" s="22"/>
      <c r="D797" s="23"/>
    </row>
    <row r="798" spans="3:4" ht="15.75" customHeight="1">
      <c r="C798" s="22"/>
      <c r="D798" s="23"/>
    </row>
    <row r="799" spans="3:4" ht="15.75" customHeight="1">
      <c r="C799" s="22"/>
      <c r="D799" s="23"/>
    </row>
    <row r="800" spans="3:4" ht="15.75" customHeight="1">
      <c r="C800" s="22"/>
      <c r="D800" s="23"/>
    </row>
    <row r="801" spans="3:4" ht="15.75" customHeight="1">
      <c r="C801" s="22"/>
      <c r="D801" s="23"/>
    </row>
    <row r="802" spans="3:4" ht="15.75" customHeight="1">
      <c r="C802" s="22"/>
      <c r="D802" s="23"/>
    </row>
    <row r="803" spans="3:4" ht="15.75" customHeight="1">
      <c r="C803" s="22"/>
      <c r="D803" s="23"/>
    </row>
    <row r="804" spans="3:4" ht="15.75" customHeight="1">
      <c r="C804" s="22"/>
      <c r="D804" s="23"/>
    </row>
    <row r="805" spans="3:4" ht="15.75" customHeight="1">
      <c r="C805" s="22"/>
      <c r="D805" s="23"/>
    </row>
    <row r="806" spans="3:4" ht="15.75" customHeight="1">
      <c r="C806" s="22"/>
      <c r="D806" s="23"/>
    </row>
    <row r="807" spans="3:4" ht="15.75" customHeight="1">
      <c r="C807" s="22"/>
      <c r="D807" s="23"/>
    </row>
    <row r="808" spans="3:4" ht="15.75" customHeight="1">
      <c r="C808" s="22"/>
      <c r="D808" s="23"/>
    </row>
    <row r="809" spans="3:4" ht="15.75" customHeight="1">
      <c r="C809" s="22"/>
      <c r="D809" s="23"/>
    </row>
    <row r="810" spans="3:4" ht="15.75" customHeight="1">
      <c r="C810" s="22"/>
      <c r="D810" s="23"/>
    </row>
    <row r="811" spans="3:4" ht="15.75" customHeight="1">
      <c r="C811" s="22"/>
      <c r="D811" s="23"/>
    </row>
    <row r="812" spans="3:4" ht="15.75" customHeight="1">
      <c r="C812" s="22"/>
      <c r="D812" s="23"/>
    </row>
    <row r="813" spans="3:4" ht="15.75" customHeight="1">
      <c r="C813" s="22"/>
      <c r="D813" s="23"/>
    </row>
    <row r="814" spans="3:4" ht="15.75" customHeight="1">
      <c r="C814" s="22"/>
      <c r="D814" s="23"/>
    </row>
    <row r="815" spans="3:4" ht="15.75" customHeight="1">
      <c r="C815" s="22"/>
      <c r="D815" s="23"/>
    </row>
    <row r="816" spans="3:4" ht="15.75" customHeight="1">
      <c r="C816" s="22"/>
      <c r="D816" s="23"/>
    </row>
    <row r="817" spans="3:4" ht="15.75" customHeight="1">
      <c r="C817" s="22"/>
      <c r="D817" s="23"/>
    </row>
    <row r="818" spans="3:4" ht="15.75" customHeight="1">
      <c r="C818" s="22"/>
      <c r="D818" s="23"/>
    </row>
    <row r="819" spans="3:4" ht="15.75" customHeight="1">
      <c r="C819" s="22"/>
      <c r="D819" s="23"/>
    </row>
    <row r="820" spans="3:4" ht="15.75" customHeight="1">
      <c r="C820" s="22"/>
      <c r="D820" s="23"/>
    </row>
    <row r="821" spans="3:4" ht="15.75" customHeight="1">
      <c r="C821" s="22"/>
      <c r="D821" s="23"/>
    </row>
    <row r="822" spans="3:4" ht="15.75" customHeight="1">
      <c r="C822" s="22"/>
      <c r="D822" s="23"/>
    </row>
    <row r="823" spans="3:4" ht="15.75" customHeight="1">
      <c r="C823" s="22"/>
      <c r="D823" s="23"/>
    </row>
    <row r="824" spans="3:4" ht="15.75" customHeight="1">
      <c r="C824" s="22"/>
      <c r="D824" s="23"/>
    </row>
    <row r="825" spans="3:4" ht="15.75" customHeight="1">
      <c r="C825" s="22"/>
      <c r="D825" s="23"/>
    </row>
    <row r="826" spans="3:4" ht="15.75" customHeight="1">
      <c r="C826" s="22"/>
      <c r="D826" s="23"/>
    </row>
    <row r="827" spans="3:4" ht="15.75" customHeight="1">
      <c r="C827" s="22"/>
      <c r="D827" s="23"/>
    </row>
    <row r="828" spans="3:4" ht="15.75" customHeight="1">
      <c r="C828" s="22"/>
      <c r="D828" s="23"/>
    </row>
    <row r="829" spans="3:4" ht="15.75" customHeight="1">
      <c r="C829" s="22"/>
      <c r="D829" s="23"/>
    </row>
    <row r="830" spans="3:4" ht="15.75" customHeight="1">
      <c r="C830" s="22"/>
      <c r="D830" s="23"/>
    </row>
    <row r="831" spans="3:4" ht="15.75" customHeight="1">
      <c r="C831" s="22"/>
      <c r="D831" s="23"/>
    </row>
    <row r="832" spans="3:4" ht="15.75" customHeight="1">
      <c r="C832" s="22"/>
      <c r="D832" s="23"/>
    </row>
    <row r="833" spans="3:4" ht="15.75" customHeight="1">
      <c r="C833" s="22"/>
      <c r="D833" s="23"/>
    </row>
    <row r="834" spans="3:4" ht="15.75" customHeight="1">
      <c r="C834" s="22"/>
      <c r="D834" s="23"/>
    </row>
    <row r="835" spans="3:4" ht="15.75" customHeight="1">
      <c r="C835" s="22"/>
      <c r="D835" s="23"/>
    </row>
    <row r="836" spans="3:4" ht="15.75" customHeight="1">
      <c r="C836" s="22"/>
      <c r="D836" s="23"/>
    </row>
    <row r="837" spans="3:4" ht="15.75" customHeight="1">
      <c r="C837" s="22"/>
      <c r="D837" s="23"/>
    </row>
    <row r="838" spans="3:4" ht="15.75" customHeight="1">
      <c r="C838" s="22"/>
      <c r="D838" s="23"/>
    </row>
    <row r="839" spans="3:4" ht="15.75" customHeight="1">
      <c r="C839" s="22"/>
      <c r="D839" s="23"/>
    </row>
    <row r="840" spans="3:4" ht="15.75" customHeight="1">
      <c r="C840" s="22"/>
      <c r="D840" s="23"/>
    </row>
    <row r="841" spans="3:4" ht="15.75" customHeight="1">
      <c r="C841" s="22"/>
      <c r="D841" s="23"/>
    </row>
    <row r="842" spans="3:4" ht="15.75" customHeight="1">
      <c r="C842" s="22"/>
      <c r="D842" s="23"/>
    </row>
    <row r="843" spans="3:4" ht="15.75" customHeight="1">
      <c r="C843" s="22"/>
      <c r="D843" s="23"/>
    </row>
    <row r="844" spans="3:4" ht="15.75" customHeight="1">
      <c r="C844" s="22"/>
      <c r="D844" s="23"/>
    </row>
    <row r="845" spans="3:4" ht="15.75" customHeight="1">
      <c r="C845" s="22"/>
      <c r="D845" s="23"/>
    </row>
    <row r="846" spans="3:4" ht="15.75" customHeight="1">
      <c r="C846" s="22"/>
      <c r="D846" s="23"/>
    </row>
    <row r="847" spans="3:4" ht="15.75" customHeight="1">
      <c r="C847" s="22"/>
      <c r="D847" s="23"/>
    </row>
    <row r="848" spans="3:4" ht="15.75" customHeight="1">
      <c r="C848" s="22"/>
      <c r="D848" s="23"/>
    </row>
    <row r="849" spans="3:4" ht="15.75" customHeight="1">
      <c r="C849" s="22"/>
      <c r="D849" s="23"/>
    </row>
    <row r="850" spans="3:4" ht="15.75" customHeight="1">
      <c r="C850" s="22"/>
      <c r="D850" s="23"/>
    </row>
    <row r="851" spans="3:4" ht="15.75" customHeight="1">
      <c r="C851" s="22"/>
      <c r="D851" s="23"/>
    </row>
    <row r="852" spans="3:4" ht="15.75" customHeight="1">
      <c r="C852" s="22"/>
      <c r="D852" s="23"/>
    </row>
    <row r="853" spans="3:4" ht="15.75" customHeight="1">
      <c r="C853" s="22"/>
      <c r="D853" s="23"/>
    </row>
    <row r="854" spans="3:4" ht="15.75" customHeight="1">
      <c r="C854" s="22"/>
      <c r="D854" s="23"/>
    </row>
    <row r="855" spans="3:4" ht="15.75" customHeight="1">
      <c r="C855" s="22"/>
      <c r="D855" s="23"/>
    </row>
    <row r="856" spans="3:4" ht="15.75" customHeight="1">
      <c r="C856" s="22"/>
      <c r="D856" s="23"/>
    </row>
    <row r="857" spans="3:4" ht="15.75" customHeight="1">
      <c r="C857" s="22"/>
      <c r="D857" s="23"/>
    </row>
    <row r="858" spans="3:4" ht="15.75" customHeight="1">
      <c r="C858" s="22"/>
      <c r="D858" s="23"/>
    </row>
    <row r="859" spans="3:4" ht="15.75" customHeight="1">
      <c r="C859" s="22"/>
      <c r="D859" s="23"/>
    </row>
    <row r="860" spans="3:4" ht="15.75" customHeight="1">
      <c r="C860" s="22"/>
      <c r="D860" s="23"/>
    </row>
    <row r="861" spans="3:4" ht="15.75" customHeight="1">
      <c r="C861" s="22"/>
      <c r="D861" s="23"/>
    </row>
    <row r="862" spans="3:4" ht="15.75" customHeight="1">
      <c r="C862" s="22"/>
      <c r="D862" s="23"/>
    </row>
    <row r="863" spans="3:4" ht="15.75" customHeight="1">
      <c r="C863" s="22"/>
      <c r="D863" s="23"/>
    </row>
    <row r="864" spans="3:4" ht="15.75" customHeight="1">
      <c r="C864" s="22"/>
      <c r="D864" s="23"/>
    </row>
    <row r="865" spans="3:4" ht="15.75" customHeight="1">
      <c r="C865" s="22"/>
      <c r="D865" s="23"/>
    </row>
    <row r="866" spans="3:4" ht="15.75" customHeight="1">
      <c r="C866" s="22"/>
      <c r="D866" s="23"/>
    </row>
    <row r="867" spans="3:4" ht="15.75" customHeight="1">
      <c r="C867" s="22"/>
      <c r="D867" s="23"/>
    </row>
    <row r="868" spans="3:4" ht="15.75" customHeight="1">
      <c r="C868" s="22"/>
      <c r="D868" s="23"/>
    </row>
    <row r="869" spans="3:4" ht="15.75" customHeight="1">
      <c r="C869" s="22"/>
      <c r="D869" s="23"/>
    </row>
    <row r="870" spans="3:4" ht="15.75" customHeight="1">
      <c r="C870" s="22"/>
      <c r="D870" s="23"/>
    </row>
    <row r="871" spans="3:4" ht="15.75" customHeight="1">
      <c r="C871" s="22"/>
      <c r="D871" s="23"/>
    </row>
    <row r="872" spans="3:4" ht="15.75" customHeight="1">
      <c r="C872" s="22"/>
      <c r="D872" s="23"/>
    </row>
    <row r="873" spans="3:4" ht="15.75" customHeight="1">
      <c r="C873" s="22"/>
      <c r="D873" s="23"/>
    </row>
    <row r="874" spans="3:4" ht="15.75" customHeight="1">
      <c r="C874" s="22"/>
      <c r="D874" s="23"/>
    </row>
    <row r="875" spans="3:4" ht="15.75" customHeight="1">
      <c r="C875" s="22"/>
      <c r="D875" s="23"/>
    </row>
    <row r="876" spans="3:4" ht="15.75" customHeight="1">
      <c r="C876" s="22"/>
      <c r="D876" s="23"/>
    </row>
    <row r="877" spans="3:4" ht="15.75" customHeight="1">
      <c r="C877" s="22"/>
      <c r="D877" s="23"/>
    </row>
    <row r="878" spans="3:4" ht="15.75" customHeight="1">
      <c r="C878" s="22"/>
      <c r="D878" s="23"/>
    </row>
    <row r="879" spans="3:4" ht="15.75" customHeight="1">
      <c r="C879" s="22"/>
      <c r="D879" s="23"/>
    </row>
    <row r="880" spans="3:4" ht="15.75" customHeight="1">
      <c r="C880" s="22"/>
      <c r="D880" s="23"/>
    </row>
    <row r="881" spans="3:4" ht="15.75" customHeight="1">
      <c r="C881" s="22"/>
      <c r="D881" s="23"/>
    </row>
    <row r="882" spans="3:4" ht="15.75" customHeight="1">
      <c r="C882" s="22"/>
      <c r="D882" s="23"/>
    </row>
    <row r="883" spans="3:4" ht="15.75" customHeight="1">
      <c r="C883" s="22"/>
      <c r="D883" s="23"/>
    </row>
    <row r="884" spans="3:4" ht="15.75" customHeight="1">
      <c r="C884" s="22"/>
      <c r="D884" s="23"/>
    </row>
    <row r="885" spans="3:4" ht="15.75" customHeight="1">
      <c r="C885" s="22"/>
      <c r="D885" s="23"/>
    </row>
    <row r="886" spans="3:4" ht="15.75" customHeight="1">
      <c r="C886" s="22"/>
      <c r="D886" s="23"/>
    </row>
    <row r="887" spans="3:4" ht="15.75" customHeight="1">
      <c r="C887" s="22"/>
      <c r="D887" s="23"/>
    </row>
    <row r="888" spans="3:4" ht="15.75" customHeight="1">
      <c r="C888" s="22"/>
      <c r="D888" s="23"/>
    </row>
    <row r="889" spans="3:4" ht="15.75" customHeight="1">
      <c r="C889" s="22"/>
      <c r="D889" s="23"/>
    </row>
    <row r="890" spans="3:4" ht="15.75" customHeight="1">
      <c r="C890" s="22"/>
      <c r="D890" s="23"/>
    </row>
    <row r="891" spans="3:4" ht="15.75" customHeight="1">
      <c r="C891" s="22"/>
      <c r="D891" s="23"/>
    </row>
    <row r="892" spans="3:4" ht="15.75" customHeight="1">
      <c r="C892" s="22"/>
      <c r="D892" s="23"/>
    </row>
    <row r="893" spans="3:4" ht="15.75" customHeight="1">
      <c r="C893" s="22"/>
      <c r="D893" s="23"/>
    </row>
    <row r="894" spans="3:4" ht="15.75" customHeight="1">
      <c r="C894" s="22"/>
      <c r="D894" s="23"/>
    </row>
    <row r="895" spans="3:4" ht="15.75" customHeight="1">
      <c r="C895" s="22"/>
      <c r="D895" s="23"/>
    </row>
    <row r="896" spans="3:4" ht="15.75" customHeight="1">
      <c r="C896" s="22"/>
      <c r="D896" s="23"/>
    </row>
    <row r="897" spans="3:4" ht="15.75" customHeight="1">
      <c r="C897" s="22"/>
      <c r="D897" s="23"/>
    </row>
    <row r="898" spans="3:4" ht="15.75" customHeight="1">
      <c r="C898" s="22"/>
      <c r="D898" s="23"/>
    </row>
    <row r="899" spans="3:4" ht="15.75" customHeight="1">
      <c r="C899" s="22"/>
      <c r="D899" s="23"/>
    </row>
    <row r="900" spans="3:4" ht="15.75" customHeight="1">
      <c r="C900" s="22"/>
      <c r="D900" s="23"/>
    </row>
    <row r="901" spans="3:4" ht="15.75" customHeight="1">
      <c r="C901" s="22"/>
      <c r="D901" s="23"/>
    </row>
    <row r="902" spans="3:4" ht="15.75" customHeight="1">
      <c r="C902" s="22"/>
      <c r="D902" s="23"/>
    </row>
    <row r="903" spans="3:4" ht="15.75" customHeight="1">
      <c r="C903" s="22"/>
      <c r="D903" s="23"/>
    </row>
    <row r="904" spans="3:4" ht="15.75" customHeight="1">
      <c r="C904" s="22"/>
      <c r="D904" s="23"/>
    </row>
    <row r="905" spans="3:4" ht="15.75" customHeight="1">
      <c r="C905" s="22"/>
      <c r="D905" s="23"/>
    </row>
    <row r="906" spans="3:4" ht="15.75" customHeight="1">
      <c r="C906" s="22"/>
      <c r="D906" s="23"/>
    </row>
    <row r="907" spans="3:4" ht="15.75" customHeight="1">
      <c r="C907" s="22"/>
      <c r="D907" s="23"/>
    </row>
    <row r="908" spans="3:4" ht="15.75" customHeight="1">
      <c r="C908" s="22"/>
      <c r="D908" s="23"/>
    </row>
    <row r="909" spans="3:4" ht="15.75" customHeight="1">
      <c r="C909" s="22"/>
      <c r="D909" s="23"/>
    </row>
    <row r="910" spans="3:4" ht="15.75" customHeight="1">
      <c r="C910" s="22"/>
      <c r="D910" s="23"/>
    </row>
    <row r="911" spans="3:4" ht="15.75" customHeight="1">
      <c r="C911" s="22"/>
      <c r="D911" s="23"/>
    </row>
    <row r="912" spans="3:4" ht="15.75" customHeight="1">
      <c r="C912" s="22"/>
      <c r="D912" s="23"/>
    </row>
    <row r="913" spans="3:4" ht="15.75" customHeight="1">
      <c r="C913" s="22"/>
      <c r="D913" s="23"/>
    </row>
    <row r="914" spans="3:4" ht="15.75" customHeight="1">
      <c r="C914" s="22"/>
      <c r="D914" s="23"/>
    </row>
    <row r="915" spans="3:4" ht="15.75" customHeight="1">
      <c r="C915" s="22"/>
      <c r="D915" s="23"/>
    </row>
    <row r="916" spans="3:4" ht="15.75" customHeight="1">
      <c r="C916" s="22"/>
      <c r="D916" s="23"/>
    </row>
    <row r="917" spans="3:4" ht="15.75" customHeight="1">
      <c r="C917" s="22"/>
      <c r="D917" s="23"/>
    </row>
    <row r="918" spans="3:4" ht="15.75" customHeight="1">
      <c r="C918" s="22"/>
      <c r="D918" s="23"/>
    </row>
    <row r="919" spans="3:4" ht="15.75" customHeight="1">
      <c r="C919" s="22"/>
      <c r="D919" s="23"/>
    </row>
    <row r="920" spans="3:4" ht="15.75" customHeight="1">
      <c r="C920" s="22"/>
      <c r="D920" s="23"/>
    </row>
    <row r="921" spans="3:4" ht="15.75" customHeight="1">
      <c r="C921" s="22"/>
      <c r="D921" s="23"/>
    </row>
    <row r="922" spans="3:4" ht="15.75" customHeight="1">
      <c r="C922" s="22"/>
      <c r="D922" s="23"/>
    </row>
    <row r="923" spans="3:4" ht="15.75" customHeight="1">
      <c r="C923" s="22"/>
      <c r="D923" s="23"/>
    </row>
    <row r="924" spans="3:4" ht="15.75" customHeight="1">
      <c r="C924" s="22"/>
      <c r="D924" s="23"/>
    </row>
    <row r="925" spans="3:4" ht="15.75" customHeight="1">
      <c r="C925" s="22"/>
      <c r="D925" s="23"/>
    </row>
    <row r="926" spans="3:4" ht="15.75" customHeight="1">
      <c r="C926" s="22"/>
      <c r="D926" s="23"/>
    </row>
    <row r="927" spans="3:4" ht="15.75" customHeight="1">
      <c r="C927" s="22"/>
      <c r="D927" s="23"/>
    </row>
    <row r="928" spans="3:4" ht="15.75" customHeight="1">
      <c r="C928" s="22"/>
      <c r="D928" s="23"/>
    </row>
    <row r="929" spans="3:4" ht="15.75" customHeight="1">
      <c r="C929" s="22"/>
      <c r="D929" s="23"/>
    </row>
    <row r="930" spans="3:4" ht="15.75" customHeight="1">
      <c r="C930" s="22"/>
      <c r="D930" s="23"/>
    </row>
    <row r="931" spans="3:4" ht="15.75" customHeight="1">
      <c r="C931" s="22"/>
      <c r="D931" s="23"/>
    </row>
    <row r="932" spans="3:4" ht="15.75" customHeight="1">
      <c r="C932" s="22"/>
      <c r="D932" s="23"/>
    </row>
    <row r="933" spans="3:4" ht="15.75" customHeight="1">
      <c r="C933" s="22"/>
      <c r="D933" s="23"/>
    </row>
    <row r="934" spans="3:4" ht="15.75" customHeight="1">
      <c r="C934" s="22"/>
      <c r="D934" s="23"/>
    </row>
    <row r="935" spans="3:4" ht="15.75" customHeight="1">
      <c r="C935" s="22"/>
      <c r="D935" s="23"/>
    </row>
    <row r="936" spans="3:4" ht="15.75" customHeight="1">
      <c r="C936" s="22"/>
      <c r="D936" s="23"/>
    </row>
    <row r="937" spans="3:4" ht="15.75" customHeight="1">
      <c r="C937" s="22"/>
      <c r="D937" s="23"/>
    </row>
    <row r="938" spans="3:4" ht="15.75" customHeight="1">
      <c r="C938" s="22"/>
      <c r="D938" s="23"/>
    </row>
    <row r="939" spans="3:4" ht="15.75" customHeight="1">
      <c r="C939" s="22"/>
      <c r="D939" s="23"/>
    </row>
    <row r="940" spans="3:4" ht="15.75" customHeight="1">
      <c r="C940" s="22"/>
      <c r="D940" s="23"/>
    </row>
    <row r="941" spans="3:4" ht="15.75" customHeight="1">
      <c r="C941" s="22"/>
      <c r="D941" s="23"/>
    </row>
    <row r="942" spans="3:4" ht="15.75" customHeight="1">
      <c r="C942" s="22"/>
      <c r="D942" s="23"/>
    </row>
    <row r="943" spans="3:4" ht="15.75" customHeight="1">
      <c r="C943" s="22"/>
      <c r="D943" s="23"/>
    </row>
    <row r="944" spans="3:4" ht="15.75" customHeight="1">
      <c r="C944" s="22"/>
      <c r="D944" s="23"/>
    </row>
    <row r="945" spans="3:4" ht="15.75" customHeight="1">
      <c r="C945" s="22"/>
      <c r="D945" s="23"/>
    </row>
    <row r="946" spans="3:4" ht="15.75" customHeight="1">
      <c r="C946" s="22"/>
      <c r="D946" s="23"/>
    </row>
    <row r="947" spans="3:4" ht="15.75" customHeight="1">
      <c r="C947" s="22"/>
      <c r="D947" s="23"/>
    </row>
    <row r="948" spans="3:4" ht="15.75" customHeight="1">
      <c r="C948" s="22"/>
      <c r="D948" s="23"/>
    </row>
    <row r="949" spans="3:4" ht="15.75" customHeight="1">
      <c r="C949" s="22"/>
      <c r="D949" s="23"/>
    </row>
    <row r="950" spans="3:4" ht="15.75" customHeight="1">
      <c r="C950" s="22"/>
      <c r="D950" s="23"/>
    </row>
    <row r="951" spans="3:4" ht="15.75" customHeight="1">
      <c r="C951" s="22"/>
      <c r="D951" s="23"/>
    </row>
    <row r="952" spans="3:4" ht="15.75" customHeight="1">
      <c r="C952" s="22"/>
      <c r="D952" s="23"/>
    </row>
    <row r="953" spans="3:4" ht="15.75" customHeight="1">
      <c r="C953" s="22"/>
      <c r="D953" s="23"/>
    </row>
    <row r="954" spans="3:4" ht="15.75" customHeight="1">
      <c r="C954" s="22"/>
      <c r="D954" s="23"/>
    </row>
    <row r="955" spans="3:4" ht="15.75" customHeight="1">
      <c r="C955" s="22"/>
      <c r="D955" s="23"/>
    </row>
    <row r="956" spans="3:4" ht="15.75" customHeight="1">
      <c r="C956" s="22"/>
      <c r="D956" s="23"/>
    </row>
    <row r="957" spans="3:4" ht="15.75" customHeight="1">
      <c r="C957" s="22"/>
      <c r="D957" s="23"/>
    </row>
    <row r="958" spans="3:4" ht="15.75" customHeight="1">
      <c r="C958" s="22"/>
      <c r="D958" s="23"/>
    </row>
    <row r="959" spans="3:4" ht="15.75" customHeight="1">
      <c r="C959" s="22"/>
      <c r="D959" s="23"/>
    </row>
    <row r="960" spans="3:4" ht="15.75" customHeight="1">
      <c r="C960" s="22"/>
      <c r="D960" s="23"/>
    </row>
    <row r="961" spans="3:4" ht="15.75" customHeight="1">
      <c r="C961" s="22"/>
      <c r="D961" s="23"/>
    </row>
    <row r="962" spans="3:4" ht="15.75" customHeight="1">
      <c r="C962" s="22"/>
      <c r="D962" s="23"/>
    </row>
    <row r="963" spans="3:4" ht="15.75" customHeight="1">
      <c r="C963" s="22"/>
      <c r="D963" s="23"/>
    </row>
    <row r="964" spans="3:4" ht="15.75" customHeight="1">
      <c r="C964" s="22"/>
      <c r="D964" s="23"/>
    </row>
    <row r="965" spans="3:4" ht="15.75" customHeight="1">
      <c r="C965" s="22"/>
      <c r="D965" s="23"/>
    </row>
    <row r="966" spans="3:4" ht="15.75" customHeight="1">
      <c r="C966" s="22"/>
      <c r="D966" s="23"/>
    </row>
    <row r="967" spans="3:4" ht="15.75" customHeight="1">
      <c r="C967" s="22"/>
      <c r="D967" s="23"/>
    </row>
    <row r="968" spans="3:4" ht="15.75" customHeight="1">
      <c r="C968" s="22"/>
      <c r="D968" s="23"/>
    </row>
    <row r="969" spans="3:4" ht="15.75" customHeight="1">
      <c r="C969" s="22"/>
      <c r="D969" s="23"/>
    </row>
    <row r="970" spans="3:4" ht="15.75" customHeight="1">
      <c r="C970" s="22"/>
      <c r="D970" s="23"/>
    </row>
    <row r="971" spans="3:4" ht="15.75" customHeight="1">
      <c r="C971" s="22"/>
      <c r="D971" s="23"/>
    </row>
    <row r="972" spans="3:4" ht="15.75" customHeight="1">
      <c r="C972" s="22"/>
      <c r="D972" s="23"/>
    </row>
    <row r="973" spans="3:4" ht="15.75" customHeight="1">
      <c r="C973" s="22"/>
      <c r="D973" s="23"/>
    </row>
    <row r="974" spans="3:4" ht="15.75" customHeight="1">
      <c r="C974" s="22"/>
      <c r="D974" s="23"/>
    </row>
    <row r="975" spans="3:4" ht="15.75" customHeight="1">
      <c r="C975" s="22"/>
      <c r="D975" s="23"/>
    </row>
    <row r="976" spans="3:4" ht="15.75" customHeight="1">
      <c r="C976" s="22"/>
      <c r="D976" s="23"/>
    </row>
    <row r="977" spans="3:4" ht="15.75" customHeight="1">
      <c r="C977" s="22"/>
      <c r="D977" s="23"/>
    </row>
    <row r="978" spans="3:4" ht="15.75" customHeight="1">
      <c r="C978" s="22"/>
      <c r="D978" s="23"/>
    </row>
    <row r="979" spans="3:4" ht="15.75" customHeight="1">
      <c r="C979" s="22"/>
      <c r="D979" s="23"/>
    </row>
    <row r="980" spans="3:4" ht="15.75" customHeight="1">
      <c r="C980" s="22"/>
      <c r="D980" s="23"/>
    </row>
    <row r="981" spans="3:4" ht="15.75" customHeight="1">
      <c r="C981" s="22"/>
      <c r="D981" s="23"/>
    </row>
    <row r="982" spans="3:4" ht="15.75" customHeight="1">
      <c r="C982" s="22"/>
      <c r="D982" s="23"/>
    </row>
    <row r="983" spans="3:4" ht="15.75" customHeight="1">
      <c r="C983" s="22"/>
      <c r="D983" s="23"/>
    </row>
    <row r="984" spans="3:4" ht="15.75" customHeight="1">
      <c r="C984" s="22"/>
      <c r="D984" s="23"/>
    </row>
    <row r="985" spans="3:4" ht="15.75" customHeight="1">
      <c r="C985" s="22"/>
      <c r="D985" s="23"/>
    </row>
    <row r="986" spans="3:4" ht="15.75" customHeight="1">
      <c r="C986" s="22"/>
      <c r="D986" s="23"/>
    </row>
    <row r="987" spans="3:4" ht="15.75" customHeight="1">
      <c r="C987" s="22"/>
      <c r="D987" s="23"/>
    </row>
    <row r="988" spans="3:4" ht="15.75" customHeight="1">
      <c r="C988" s="22"/>
      <c r="D988" s="23"/>
    </row>
    <row r="989" spans="3:4" ht="15.75" customHeight="1">
      <c r="C989" s="22"/>
      <c r="D989" s="23"/>
    </row>
    <row r="990" spans="3:4" ht="15.75" customHeight="1">
      <c r="C990" s="22"/>
      <c r="D990" s="23"/>
    </row>
    <row r="991" spans="3:4" ht="15.75" customHeight="1">
      <c r="C991" s="22"/>
      <c r="D991" s="23"/>
    </row>
    <row r="992" spans="3:4" ht="15.75" customHeight="1">
      <c r="C992" s="22"/>
      <c r="D992" s="23"/>
    </row>
    <row r="993" spans="3:4" ht="15.75" customHeight="1">
      <c r="C993" s="22"/>
      <c r="D993" s="23"/>
    </row>
    <row r="994" spans="3:4" ht="15.75" customHeight="1">
      <c r="C994" s="22"/>
      <c r="D994" s="23"/>
    </row>
    <row r="995" spans="3:4" ht="15.75" customHeight="1">
      <c r="C995" s="22"/>
      <c r="D995" s="23"/>
    </row>
    <row r="996" spans="3:4" ht="15.75" customHeight="1">
      <c r="C996" s="22"/>
      <c r="D996" s="23"/>
    </row>
    <row r="997" spans="3:4" ht="15.75" customHeight="1">
      <c r="C997" s="22"/>
      <c r="D997" s="23"/>
    </row>
    <row r="998" spans="3:4" ht="15.75" customHeight="1">
      <c r="C998" s="22"/>
      <c r="D998" s="23"/>
    </row>
    <row r="999" spans="3:4" ht="15.75" customHeight="1">
      <c r="C999" s="22"/>
      <c r="D999" s="23"/>
    </row>
    <row r="1000" spans="3:4" ht="15.75" customHeight="1">
      <c r="C1000" s="22"/>
      <c r="D1000" s="23"/>
    </row>
  </sheetData>
  <mergeCells count="4">
    <mergeCell ref="A1:J1"/>
    <mergeCell ref="I2:J2"/>
    <mergeCell ref="I7:J7"/>
    <mergeCell ref="I14:J14"/>
  </mergeCells>
  <conditionalFormatting sqref="J3">
    <cfRule type="cellIs" dxfId="27" priority="1" operator="lessThan">
      <formula>0</formula>
    </cfRule>
  </conditionalFormatting>
  <conditionalFormatting sqref="J3">
    <cfRule type="cellIs" dxfId="26" priority="2" operator="greaterThan">
      <formula>0</formula>
    </cfRule>
  </conditionalFormatting>
  <conditionalFormatting sqref="J5">
    <cfRule type="cellIs" dxfId="25" priority="3" operator="lessThan">
      <formula>0</formula>
    </cfRule>
  </conditionalFormatting>
  <conditionalFormatting sqref="J5">
    <cfRule type="cellIs" dxfId="24" priority="4" operator="greaterThan">
      <formula>0</formula>
    </cfRule>
  </conditionalFormatting>
  <conditionalFormatting sqref="J4">
    <cfRule type="cellIs" dxfId="23" priority="5" operator="greaterThan">
      <formula>0</formula>
    </cfRule>
  </conditionalFormatting>
  <conditionalFormatting sqref="J4">
    <cfRule type="cellIs" dxfId="22" priority="6" operator="lessThan">
      <formula>0</formula>
    </cfRule>
  </conditionalFormatting>
  <conditionalFormatting sqref="D1:D1000">
    <cfRule type="cellIs" dxfId="21" priority="7" operator="equal">
      <formula>"پرداخت"</formula>
    </cfRule>
  </conditionalFormatting>
  <conditionalFormatting sqref="D1:D1000">
    <cfRule type="cellIs" dxfId="20" priority="8" operator="equal">
      <formula>"برداشت"</formula>
    </cfRule>
  </conditionalFormatting>
  <conditionalFormatting sqref="J15:J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500" xr:uid="{00000000-0002-0000-0000-000000000000}">
      <formula1>"داود,محمد,امید"</formula1>
    </dataValidation>
    <dataValidation type="list" allowBlank="1" sqref="D3:D500" xr:uid="{00000000-0002-0000-0000-000001000000}">
      <formula1>"برداشت,پرداخت"</formula1>
    </dataValidation>
  </dataValidations>
  <pageMargins left="0.75" right="0.75" top="1" bottom="1" header="0" footer="0"/>
  <pageSetup paperSize="9" scale="7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outlinePr summaryBelow="0" summaryRight="0"/>
  </sheetPr>
  <dimension ref="A1:Z1000"/>
  <sheetViews>
    <sheetView workbookViewId="0">
      <selection activeCell="B5" sqref="B5"/>
    </sheetView>
  </sheetViews>
  <sheetFormatPr defaultColWidth="12.625" defaultRowHeight="15" customHeight="1"/>
  <cols>
    <col min="1" max="1" width="11.125" customWidth="1"/>
    <col min="2" max="2" width="59.25" customWidth="1"/>
    <col min="3" max="3" width="12.6875" bestFit="1" customWidth="1"/>
    <col min="4" max="4" width="9.625" customWidth="1"/>
    <col min="5" max="5" width="9.125" customWidth="1"/>
    <col min="6" max="6" width="12.6875" bestFit="1" customWidth="1"/>
    <col min="7" max="7" width="12.75" bestFit="1" customWidth="1"/>
    <col min="8" max="8" width="12.6875" bestFit="1" customWidth="1"/>
    <col min="9" max="9" width="13.625" customWidth="1"/>
    <col min="10" max="10" width="14.25" customWidth="1"/>
  </cols>
  <sheetData>
    <row r="1" spans="1:26" ht="24" customHeight="1">
      <c r="A1" s="118" t="s">
        <v>1</v>
      </c>
      <c r="B1" s="113"/>
      <c r="C1" s="113"/>
      <c r="D1" s="113"/>
      <c r="E1" s="113"/>
      <c r="F1" s="113"/>
      <c r="G1" s="113"/>
      <c r="H1" s="113"/>
      <c r="I1" s="113"/>
      <c r="J1" s="114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.7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91" t="s">
        <v>16</v>
      </c>
      <c r="B3" s="92" t="s">
        <v>18</v>
      </c>
      <c r="C3" s="93">
        <v>10000000</v>
      </c>
      <c r="D3" s="92" t="s">
        <v>19</v>
      </c>
      <c r="E3" s="92" t="s">
        <v>11</v>
      </c>
      <c r="F3" s="94">
        <f t="shared" ref="F3:F26" si="0">IF($D3="","",IF($E3="داود",IF($D3="برداشت",- $C3, $C3),0))</f>
        <v>0</v>
      </c>
      <c r="G3" s="95">
        <f t="shared" ref="G3:G26" si="1">IF($D3="","",IF($E3="محمد",IF($D3="برداشت",- $C3, $C3),0))</f>
        <v>0</v>
      </c>
      <c r="H3" s="94">
        <f t="shared" ref="H3:H26" si="2">IF($D3="","",IF($E3="امید",IF($D3="برداشت",- $C3, $C3),0))</f>
        <v>-10000000</v>
      </c>
      <c r="I3" s="119" t="s">
        <v>28</v>
      </c>
      <c r="J3" s="120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9.899999999999999">
      <c r="A4" s="91" t="s">
        <v>16</v>
      </c>
      <c r="B4" s="92" t="s">
        <v>33</v>
      </c>
      <c r="C4" s="93">
        <v>2000000</v>
      </c>
      <c r="D4" s="92" t="s">
        <v>19</v>
      </c>
      <c r="E4" s="92" t="s">
        <v>9</v>
      </c>
      <c r="F4" s="94">
        <f t="shared" si="0"/>
        <v>-2000000</v>
      </c>
      <c r="G4" s="95">
        <f t="shared" si="1"/>
        <v>0</v>
      </c>
      <c r="H4" s="94">
        <f t="shared" si="2"/>
        <v>0</v>
      </c>
      <c r="I4" s="96" t="s">
        <v>9</v>
      </c>
      <c r="J4" s="97">
        <f>Sheet1!J3</f>
        <v>745000000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9.899999999999999">
      <c r="A5" s="91" t="s">
        <v>42</v>
      </c>
      <c r="B5" s="92" t="s">
        <v>43</v>
      </c>
      <c r="C5" s="93">
        <v>2500000</v>
      </c>
      <c r="D5" s="92" t="s">
        <v>19</v>
      </c>
      <c r="E5" s="92" t="s">
        <v>9</v>
      </c>
      <c r="F5" s="94">
        <f t="shared" si="0"/>
        <v>-2500000</v>
      </c>
      <c r="G5" s="95">
        <f t="shared" si="1"/>
        <v>0</v>
      </c>
      <c r="H5" s="94">
        <f t="shared" si="2"/>
        <v>0</v>
      </c>
      <c r="I5" s="96" t="s">
        <v>10</v>
      </c>
      <c r="J5" s="97">
        <f>Sheet1!J4</f>
        <v>1283900000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9.899999999999999">
      <c r="A6" s="91" t="s">
        <v>42</v>
      </c>
      <c r="B6" s="92" t="s">
        <v>51</v>
      </c>
      <c r="C6" s="93">
        <v>3000000</v>
      </c>
      <c r="D6" s="92" t="s">
        <v>19</v>
      </c>
      <c r="E6" s="92" t="s">
        <v>9</v>
      </c>
      <c r="F6" s="94">
        <f t="shared" si="0"/>
        <v>-3000000</v>
      </c>
      <c r="G6" s="95">
        <f t="shared" si="1"/>
        <v>0</v>
      </c>
      <c r="H6" s="94">
        <f t="shared" si="2"/>
        <v>0</v>
      </c>
      <c r="I6" s="96" t="s">
        <v>11</v>
      </c>
      <c r="J6" s="97">
        <f>Sheet1!J5</f>
        <v>1240960000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9.899999999999999">
      <c r="A7" s="91" t="s">
        <v>61</v>
      </c>
      <c r="B7" s="92" t="s">
        <v>62</v>
      </c>
      <c r="C7" s="93">
        <v>1650000</v>
      </c>
      <c r="D7" s="92" t="s">
        <v>19</v>
      </c>
      <c r="E7" s="92" t="s">
        <v>9</v>
      </c>
      <c r="F7" s="94">
        <f t="shared" si="0"/>
        <v>-1650000</v>
      </c>
      <c r="G7" s="95">
        <f t="shared" si="1"/>
        <v>0</v>
      </c>
      <c r="H7" s="94">
        <f t="shared" si="2"/>
        <v>0</v>
      </c>
      <c r="I7" s="119" t="s">
        <v>52</v>
      </c>
      <c r="J7" s="120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9.899999999999999">
      <c r="A8" s="91" t="s">
        <v>61</v>
      </c>
      <c r="B8" s="92" t="s">
        <v>68</v>
      </c>
      <c r="C8" s="93">
        <v>3300000</v>
      </c>
      <c r="D8" s="92" t="s">
        <v>19</v>
      </c>
      <c r="E8" s="92" t="s">
        <v>10</v>
      </c>
      <c r="F8" s="94">
        <f t="shared" si="0"/>
        <v>0</v>
      </c>
      <c r="G8" s="95">
        <f t="shared" si="1"/>
        <v>-3300000</v>
      </c>
      <c r="H8" s="94">
        <f t="shared" si="2"/>
        <v>0</v>
      </c>
      <c r="I8" s="98" t="s">
        <v>22</v>
      </c>
      <c r="J8" s="99">
        <f>SUM(F3:F501)</f>
        <v>-100757000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9.899999999999999">
      <c r="A9" s="91" t="s">
        <v>61</v>
      </c>
      <c r="B9" s="92" t="s">
        <v>83</v>
      </c>
      <c r="C9" s="93">
        <v>4950000</v>
      </c>
      <c r="D9" s="92" t="s">
        <v>19</v>
      </c>
      <c r="E9" s="92" t="s">
        <v>11</v>
      </c>
      <c r="F9" s="94">
        <f t="shared" si="0"/>
        <v>0</v>
      </c>
      <c r="G9" s="95">
        <f t="shared" si="1"/>
        <v>0</v>
      </c>
      <c r="H9" s="94">
        <f t="shared" si="2"/>
        <v>-4950000</v>
      </c>
      <c r="I9" s="98" t="s">
        <v>27</v>
      </c>
      <c r="J9" s="99">
        <f>SUM(G3:G501)</f>
        <v>-118300000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899999999999999">
      <c r="A10" s="91" t="s">
        <v>88</v>
      </c>
      <c r="B10" s="92" t="s">
        <v>89</v>
      </c>
      <c r="C10" s="93">
        <v>10000000</v>
      </c>
      <c r="D10" s="92" t="s">
        <v>19</v>
      </c>
      <c r="E10" s="92" t="s">
        <v>9</v>
      </c>
      <c r="F10" s="94">
        <f t="shared" si="0"/>
        <v>-10000000</v>
      </c>
      <c r="G10" s="95">
        <f t="shared" si="1"/>
        <v>0</v>
      </c>
      <c r="H10" s="94">
        <f t="shared" si="2"/>
        <v>0</v>
      </c>
      <c r="I10" s="98" t="s">
        <v>32</v>
      </c>
      <c r="J10" s="99">
        <f>SUM(H3:H501)</f>
        <v>-89950000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399999999999999">
      <c r="A11" s="91" t="s">
        <v>97</v>
      </c>
      <c r="B11" s="92" t="s">
        <v>98</v>
      </c>
      <c r="C11" s="93">
        <v>40000000</v>
      </c>
      <c r="D11" s="92" t="s">
        <v>19</v>
      </c>
      <c r="E11" s="92" t="s">
        <v>11</v>
      </c>
      <c r="F11" s="94">
        <f t="shared" si="0"/>
        <v>0</v>
      </c>
      <c r="G11" s="95">
        <f t="shared" si="1"/>
        <v>0</v>
      </c>
      <c r="H11" s="94">
        <f t="shared" si="2"/>
        <v>-40000000</v>
      </c>
      <c r="I11" s="92"/>
      <c r="J11" s="9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9.5">
      <c r="A12" s="91" t="s">
        <v>97</v>
      </c>
      <c r="B12" s="92" t="s">
        <v>101</v>
      </c>
      <c r="C12" s="93">
        <v>63607000</v>
      </c>
      <c r="D12" s="92" t="s">
        <v>19</v>
      </c>
      <c r="E12" s="92" t="s">
        <v>9</v>
      </c>
      <c r="F12" s="94">
        <f t="shared" si="0"/>
        <v>-63607000</v>
      </c>
      <c r="G12" s="95">
        <f t="shared" si="1"/>
        <v>0</v>
      </c>
      <c r="H12" s="94">
        <f t="shared" si="2"/>
        <v>0</v>
      </c>
      <c r="I12" s="121" t="s">
        <v>273</v>
      </c>
      <c r="J12" s="114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9.899999999999999">
      <c r="A13" s="91" t="s">
        <v>108</v>
      </c>
      <c r="B13" s="92" t="s">
        <v>109</v>
      </c>
      <c r="C13" s="93">
        <v>35000000</v>
      </c>
      <c r="D13" s="92" t="s">
        <v>19</v>
      </c>
      <c r="E13" s="92" t="s">
        <v>11</v>
      </c>
      <c r="F13" s="94">
        <f t="shared" si="0"/>
        <v>0</v>
      </c>
      <c r="G13" s="95">
        <f t="shared" si="1"/>
        <v>0</v>
      </c>
      <c r="H13" s="94">
        <f t="shared" si="2"/>
        <v>-35000000</v>
      </c>
      <c r="I13" s="100" t="s">
        <v>47</v>
      </c>
      <c r="J13" s="101">
        <f>(J8+J4)- MIN(J8+J4,J9+J5,J10+J6)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9.899999999999999">
      <c r="A14" s="91" t="s">
        <v>108</v>
      </c>
      <c r="B14" s="92" t="s">
        <v>119</v>
      </c>
      <c r="C14" s="93">
        <v>109000000</v>
      </c>
      <c r="D14" s="92" t="s">
        <v>19</v>
      </c>
      <c r="E14" s="92" t="s">
        <v>10</v>
      </c>
      <c r="F14" s="94">
        <f t="shared" si="0"/>
        <v>0</v>
      </c>
      <c r="G14" s="95">
        <f t="shared" si="1"/>
        <v>-109000000</v>
      </c>
      <c r="H14" s="94">
        <f t="shared" si="2"/>
        <v>0</v>
      </c>
      <c r="I14" s="100" t="s">
        <v>57</v>
      </c>
      <c r="J14" s="101">
        <f>(J9+J5)- MIN(J8+J4,J9+J5,J10+J6)</f>
        <v>521357000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9.899999999999999">
      <c r="A15" s="91" t="s">
        <v>108</v>
      </c>
      <c r="B15" s="92" t="s">
        <v>130</v>
      </c>
      <c r="C15" s="93">
        <v>16000000</v>
      </c>
      <c r="D15" s="92" t="s">
        <v>19</v>
      </c>
      <c r="E15" s="92" t="s">
        <v>9</v>
      </c>
      <c r="F15" s="94">
        <f t="shared" si="0"/>
        <v>-16000000</v>
      </c>
      <c r="G15" s="95">
        <f t="shared" si="1"/>
        <v>0</v>
      </c>
      <c r="H15" s="94">
        <f t="shared" si="2"/>
        <v>0</v>
      </c>
      <c r="I15" s="100" t="s">
        <v>63</v>
      </c>
      <c r="J15" s="101">
        <f>(J10+J6)- MIN(J8+J4,J9+J5,J10+J6)</f>
        <v>506767000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399999999999999">
      <c r="A16" s="91" t="s">
        <v>138</v>
      </c>
      <c r="B16" s="92" t="s">
        <v>140</v>
      </c>
      <c r="C16" s="93">
        <v>6000000</v>
      </c>
      <c r="D16" s="92" t="s">
        <v>19</v>
      </c>
      <c r="E16" s="92" t="s">
        <v>10</v>
      </c>
      <c r="F16" s="94">
        <f t="shared" si="0"/>
        <v>0</v>
      </c>
      <c r="G16" s="95">
        <f t="shared" si="1"/>
        <v>-6000000</v>
      </c>
      <c r="H16" s="94">
        <f t="shared" si="2"/>
        <v>0</v>
      </c>
      <c r="I16" s="92"/>
      <c r="J16" s="9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399999999999999">
      <c r="A17" s="91" t="s">
        <v>138</v>
      </c>
      <c r="B17" s="92" t="s">
        <v>143</v>
      </c>
      <c r="C17" s="93">
        <v>2000000</v>
      </c>
      <c r="D17" s="92" t="s">
        <v>19</v>
      </c>
      <c r="E17" s="92" t="s">
        <v>9</v>
      </c>
      <c r="F17" s="94">
        <f t="shared" si="0"/>
        <v>-2000000</v>
      </c>
      <c r="G17" s="95">
        <f t="shared" si="1"/>
        <v>0</v>
      </c>
      <c r="H17" s="94">
        <f t="shared" si="2"/>
        <v>0</v>
      </c>
      <c r="I17" s="92"/>
      <c r="J17" s="9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399999999999999">
      <c r="A18" s="91"/>
      <c r="B18" s="92"/>
      <c r="C18" s="93"/>
      <c r="D18" s="92"/>
      <c r="E18" s="92"/>
      <c r="F18" s="94" t="str">
        <f t="shared" si="0"/>
        <v/>
      </c>
      <c r="G18" s="95" t="str">
        <f t="shared" si="1"/>
        <v/>
      </c>
      <c r="H18" s="94" t="str">
        <f t="shared" si="2"/>
        <v/>
      </c>
      <c r="I18" s="92"/>
      <c r="J18" s="9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399999999999999">
      <c r="A19" s="91"/>
      <c r="B19" s="92"/>
      <c r="C19" s="93"/>
      <c r="D19" s="92"/>
      <c r="E19" s="92"/>
      <c r="F19" s="94" t="str">
        <f t="shared" si="0"/>
        <v/>
      </c>
      <c r="G19" s="95" t="str">
        <f t="shared" si="1"/>
        <v/>
      </c>
      <c r="H19" s="94" t="str">
        <f t="shared" si="2"/>
        <v/>
      </c>
      <c r="I19" s="92"/>
      <c r="J19" s="9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399999999999999">
      <c r="A20" s="91"/>
      <c r="B20" s="92"/>
      <c r="C20" s="93"/>
      <c r="D20" s="92"/>
      <c r="E20" s="92"/>
      <c r="F20" s="94" t="str">
        <f t="shared" si="0"/>
        <v/>
      </c>
      <c r="G20" s="95" t="str">
        <f t="shared" si="1"/>
        <v/>
      </c>
      <c r="H20" s="94" t="str">
        <f t="shared" si="2"/>
        <v/>
      </c>
      <c r="I20" s="92"/>
      <c r="J20" s="9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91"/>
      <c r="B21" s="92"/>
      <c r="C21" s="93"/>
      <c r="D21" s="92"/>
      <c r="E21" s="92"/>
      <c r="F21" s="94" t="str">
        <f t="shared" si="0"/>
        <v/>
      </c>
      <c r="G21" s="95" t="str">
        <f t="shared" si="1"/>
        <v/>
      </c>
      <c r="H21" s="94" t="str">
        <f t="shared" si="2"/>
        <v/>
      </c>
      <c r="I21" s="92"/>
      <c r="J21" s="9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91"/>
      <c r="B22" s="92"/>
      <c r="C22" s="93"/>
      <c r="D22" s="92"/>
      <c r="E22" s="92"/>
      <c r="F22" s="94" t="str">
        <f t="shared" si="0"/>
        <v/>
      </c>
      <c r="G22" s="95" t="str">
        <f t="shared" si="1"/>
        <v/>
      </c>
      <c r="H22" s="94" t="str">
        <f t="shared" si="2"/>
        <v/>
      </c>
      <c r="I22" s="92"/>
      <c r="J22" s="9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91"/>
      <c r="B23" s="92"/>
      <c r="C23" s="93"/>
      <c r="D23" s="92"/>
      <c r="E23" s="92"/>
      <c r="F23" s="94" t="str">
        <f t="shared" si="0"/>
        <v/>
      </c>
      <c r="G23" s="95" t="str">
        <f t="shared" si="1"/>
        <v/>
      </c>
      <c r="H23" s="94" t="str">
        <f t="shared" si="2"/>
        <v/>
      </c>
      <c r="I23" s="92"/>
      <c r="J23" s="9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91"/>
      <c r="B24" s="92"/>
      <c r="C24" s="93"/>
      <c r="D24" s="92"/>
      <c r="E24" s="92"/>
      <c r="F24" s="94" t="str">
        <f t="shared" si="0"/>
        <v/>
      </c>
      <c r="G24" s="95" t="str">
        <f t="shared" si="1"/>
        <v/>
      </c>
      <c r="H24" s="94" t="str">
        <f t="shared" si="2"/>
        <v/>
      </c>
      <c r="I24" s="92"/>
      <c r="J24" s="9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91"/>
      <c r="B25" s="102"/>
      <c r="C25" s="93"/>
      <c r="D25" s="92"/>
      <c r="E25" s="92"/>
      <c r="F25" s="94" t="str">
        <f t="shared" si="0"/>
        <v/>
      </c>
      <c r="G25" s="95" t="str">
        <f t="shared" si="1"/>
        <v/>
      </c>
      <c r="H25" s="94" t="str">
        <f t="shared" si="2"/>
        <v/>
      </c>
      <c r="I25" s="92"/>
      <c r="J25" s="9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91"/>
      <c r="B26" s="92"/>
      <c r="C26" s="93"/>
      <c r="D26" s="92"/>
      <c r="E26" s="92"/>
      <c r="F26" s="94" t="str">
        <f t="shared" si="0"/>
        <v/>
      </c>
      <c r="G26" s="95" t="str">
        <f t="shared" si="1"/>
        <v/>
      </c>
      <c r="H26" s="94" t="str">
        <f t="shared" si="2"/>
        <v/>
      </c>
      <c r="I26" s="92"/>
      <c r="J26" s="9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8"/>
      <c r="D27" s="9"/>
      <c r="E27" s="3"/>
      <c r="F27" s="8"/>
      <c r="G27" s="8"/>
      <c r="H27" s="8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8"/>
      <c r="D28" s="9"/>
      <c r="E28" s="3"/>
      <c r="F28" s="8"/>
      <c r="G28" s="8"/>
      <c r="H28" s="8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8"/>
      <c r="D29" s="9"/>
      <c r="E29" s="3"/>
      <c r="F29" s="8"/>
      <c r="G29" s="8"/>
      <c r="H29" s="8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8"/>
      <c r="D30" s="9"/>
      <c r="E30" s="3"/>
      <c r="F30" s="8"/>
      <c r="G30" s="8"/>
      <c r="H30" s="8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8"/>
      <c r="D31" s="9"/>
      <c r="E31" s="3"/>
      <c r="F31" s="8"/>
      <c r="G31" s="8"/>
      <c r="H31" s="8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8"/>
      <c r="D32" s="9"/>
      <c r="E32" s="3"/>
      <c r="F32" s="8"/>
      <c r="G32" s="8"/>
      <c r="H32" s="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8"/>
      <c r="D33" s="9"/>
      <c r="E33" s="3"/>
      <c r="F33" s="8"/>
      <c r="G33" s="8"/>
      <c r="H33" s="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8"/>
      <c r="D34" s="9"/>
      <c r="E34" s="3"/>
      <c r="F34" s="8"/>
      <c r="G34" s="8"/>
      <c r="H34" s="8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8"/>
      <c r="D35" s="9"/>
      <c r="E35" s="3"/>
      <c r="F35" s="8"/>
      <c r="G35" s="8"/>
      <c r="H35" s="8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8"/>
      <c r="D36" s="9"/>
      <c r="E36" s="3"/>
      <c r="F36" s="8"/>
      <c r="G36" s="8"/>
      <c r="H36" s="8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8"/>
      <c r="D37" s="9"/>
      <c r="E37" s="3"/>
      <c r="F37" s="8"/>
      <c r="G37" s="8"/>
      <c r="H37" s="8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8"/>
      <c r="D38" s="9"/>
      <c r="E38" s="3"/>
      <c r="F38" s="8"/>
      <c r="G38" s="8"/>
      <c r="H38" s="8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8"/>
      <c r="D39" s="9"/>
      <c r="E39" s="3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8"/>
      <c r="D40" s="9"/>
      <c r="E40" s="3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8"/>
      <c r="D41" s="9"/>
      <c r="E41" s="3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8"/>
      <c r="D42" s="9"/>
      <c r="E42" s="3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8"/>
      <c r="D43" s="9"/>
      <c r="E43" s="3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8"/>
      <c r="D44" s="9"/>
      <c r="E44" s="3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8"/>
      <c r="D45" s="9"/>
      <c r="E45" s="3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8"/>
      <c r="D46" s="9"/>
      <c r="E46" s="3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8"/>
      <c r="D47" s="9"/>
      <c r="E47" s="3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8"/>
      <c r="D48" s="9"/>
      <c r="E48" s="3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8"/>
      <c r="D49" s="9"/>
      <c r="E49" s="3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8"/>
      <c r="D50" s="9"/>
      <c r="E50" s="3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8"/>
      <c r="D51" s="9"/>
      <c r="E51" s="3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8"/>
      <c r="D52" s="9"/>
      <c r="E52" s="3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8"/>
      <c r="D53" s="9"/>
      <c r="E53" s="3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8"/>
      <c r="D54" s="9"/>
      <c r="E54" s="3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8"/>
      <c r="D55" s="9"/>
      <c r="E55" s="3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8"/>
      <c r="D56" s="9"/>
      <c r="E56" s="3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8"/>
      <c r="D57" s="9"/>
      <c r="E57" s="3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8"/>
      <c r="D58" s="9"/>
      <c r="E58" s="3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8"/>
      <c r="D59" s="9"/>
      <c r="E59" s="3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8"/>
      <c r="D60" s="9"/>
      <c r="E60" s="3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8"/>
      <c r="D61" s="9"/>
      <c r="E61" s="3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8"/>
      <c r="D62" s="9"/>
      <c r="E62" s="3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8"/>
      <c r="D63" s="9"/>
      <c r="E63" s="3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8"/>
      <c r="D64" s="9"/>
      <c r="E64" s="3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8"/>
      <c r="D65" s="9"/>
      <c r="E65" s="3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8"/>
      <c r="D66" s="9"/>
      <c r="E66" s="3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8"/>
      <c r="D67" s="9"/>
      <c r="E67" s="3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8"/>
      <c r="D68" s="9"/>
      <c r="E68" s="3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8"/>
      <c r="D69" s="9"/>
      <c r="E69" s="3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8"/>
      <c r="D70" s="9"/>
      <c r="E70" s="3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8"/>
      <c r="D71" s="9"/>
      <c r="E71" s="3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8"/>
      <c r="D72" s="9"/>
      <c r="E72" s="3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8"/>
      <c r="D73" s="9"/>
      <c r="E73" s="3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8"/>
      <c r="D74" s="9"/>
      <c r="E74" s="3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8"/>
      <c r="D75" s="9"/>
      <c r="E75" s="3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8"/>
      <c r="D76" s="9"/>
      <c r="E76" s="3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8"/>
      <c r="D77" s="9"/>
      <c r="E77" s="3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8"/>
      <c r="D78" s="9"/>
      <c r="E78" s="3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8"/>
      <c r="D79" s="9"/>
      <c r="E79" s="3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8"/>
      <c r="D80" s="9"/>
      <c r="E80" s="3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8"/>
      <c r="D81" s="9"/>
      <c r="E81" s="3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8"/>
      <c r="D82" s="9"/>
      <c r="E82" s="3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8"/>
      <c r="D83" s="9"/>
      <c r="E83" s="3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8"/>
      <c r="D84" s="9"/>
      <c r="E84" s="3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8"/>
      <c r="D85" s="9"/>
      <c r="E85" s="3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8"/>
      <c r="D86" s="9"/>
      <c r="E86" s="3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8"/>
      <c r="D87" s="9"/>
      <c r="E87" s="3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8"/>
      <c r="D88" s="9"/>
      <c r="E88" s="3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8"/>
      <c r="D89" s="9"/>
      <c r="E89" s="3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8"/>
      <c r="D90" s="9"/>
      <c r="E90" s="3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8"/>
      <c r="D91" s="9"/>
      <c r="E91" s="3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8"/>
      <c r="D92" s="9"/>
      <c r="E92" s="3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8"/>
      <c r="D93" s="9"/>
      <c r="E93" s="3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8"/>
      <c r="D94" s="9"/>
      <c r="E94" s="3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8"/>
      <c r="D95" s="9"/>
      <c r="E95" s="3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8"/>
      <c r="D96" s="9"/>
      <c r="E96" s="3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8"/>
      <c r="D97" s="9"/>
      <c r="E97" s="3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8"/>
      <c r="D98" s="9"/>
      <c r="E98" s="3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8"/>
      <c r="D99" s="9"/>
      <c r="E99" s="3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8"/>
      <c r="D100" s="9"/>
      <c r="E100" s="3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8"/>
      <c r="D101" s="9"/>
      <c r="E101" s="3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8"/>
      <c r="D102" s="9"/>
      <c r="E102" s="3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8"/>
      <c r="D103" s="9"/>
      <c r="E103" s="3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8"/>
      <c r="D104" s="9"/>
      <c r="E104" s="3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8"/>
      <c r="D105" s="9"/>
      <c r="E105" s="3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8"/>
      <c r="D106" s="9"/>
      <c r="E106" s="3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8"/>
      <c r="D107" s="9"/>
      <c r="E107" s="3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8"/>
      <c r="D108" s="9"/>
      <c r="E108" s="3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8"/>
      <c r="D109" s="9"/>
      <c r="E109" s="3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8"/>
      <c r="D110" s="9"/>
      <c r="E110" s="3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8"/>
      <c r="D111" s="9"/>
      <c r="E111" s="3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8"/>
      <c r="D112" s="9"/>
      <c r="E112" s="3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8"/>
      <c r="D113" s="9"/>
      <c r="E113" s="3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8"/>
      <c r="D114" s="9"/>
      <c r="E114" s="3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8"/>
      <c r="D115" s="9"/>
      <c r="E115" s="3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8"/>
      <c r="D116" s="9"/>
      <c r="E116" s="3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8"/>
      <c r="D117" s="9"/>
      <c r="E117" s="3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8"/>
      <c r="D118" s="9"/>
      <c r="E118" s="3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8"/>
      <c r="D119" s="9"/>
      <c r="E119" s="3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8"/>
      <c r="D120" s="9"/>
      <c r="E120" s="3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8"/>
      <c r="D121" s="9"/>
      <c r="E121" s="3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8"/>
      <c r="D122" s="9"/>
      <c r="E122" s="3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8"/>
      <c r="D123" s="9"/>
      <c r="E123" s="3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8"/>
      <c r="D124" s="9"/>
      <c r="E124" s="3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8"/>
      <c r="D125" s="9"/>
      <c r="E125" s="3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8"/>
      <c r="D126" s="9"/>
      <c r="E126" s="3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8"/>
      <c r="D127" s="9"/>
      <c r="E127" s="3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8"/>
      <c r="D128" s="9"/>
      <c r="E128" s="3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8"/>
      <c r="D129" s="9"/>
      <c r="E129" s="3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8"/>
      <c r="D130" s="9"/>
      <c r="E130" s="3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8"/>
      <c r="D131" s="9"/>
      <c r="E131" s="3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8"/>
      <c r="D132" s="9"/>
      <c r="E132" s="3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8"/>
      <c r="D133" s="9"/>
      <c r="E133" s="3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8"/>
      <c r="D134" s="9"/>
      <c r="E134" s="3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8"/>
      <c r="D135" s="9"/>
      <c r="E135" s="3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8"/>
      <c r="D136" s="9"/>
      <c r="E136" s="3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8"/>
      <c r="D137" s="9"/>
      <c r="E137" s="3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8"/>
      <c r="D138" s="9"/>
      <c r="E138" s="3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8"/>
      <c r="D139" s="9"/>
      <c r="E139" s="3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8"/>
      <c r="D140" s="9"/>
      <c r="E140" s="3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8"/>
      <c r="D141" s="9"/>
      <c r="E141" s="3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8"/>
      <c r="D142" s="9"/>
      <c r="E142" s="3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8"/>
      <c r="D143" s="9"/>
      <c r="E143" s="3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8"/>
      <c r="D144" s="9"/>
      <c r="E144" s="3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8"/>
      <c r="D145" s="9"/>
      <c r="E145" s="3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8"/>
      <c r="D146" s="9"/>
      <c r="E146" s="3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8"/>
      <c r="D147" s="9"/>
      <c r="E147" s="3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8"/>
      <c r="D148" s="9"/>
      <c r="E148" s="3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8"/>
      <c r="D149" s="9"/>
      <c r="E149" s="3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8"/>
      <c r="D150" s="9"/>
      <c r="E150" s="3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8"/>
      <c r="D151" s="9"/>
      <c r="E151" s="3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8"/>
      <c r="D152" s="9"/>
      <c r="E152" s="3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8"/>
      <c r="D153" s="9"/>
      <c r="E153" s="3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8"/>
      <c r="D154" s="9"/>
      <c r="E154" s="3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8"/>
      <c r="D155" s="9"/>
      <c r="E155" s="3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8"/>
      <c r="D156" s="9"/>
      <c r="E156" s="3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8"/>
      <c r="D157" s="9"/>
      <c r="E157" s="3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8"/>
      <c r="D158" s="9"/>
      <c r="E158" s="3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8"/>
      <c r="D159" s="9"/>
      <c r="E159" s="3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8"/>
      <c r="D160" s="9"/>
      <c r="E160" s="3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8"/>
      <c r="D161" s="9"/>
      <c r="E161" s="3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8"/>
      <c r="D162" s="9"/>
      <c r="E162" s="3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8"/>
      <c r="D163" s="9"/>
      <c r="E163" s="3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8"/>
      <c r="D164" s="9"/>
      <c r="E164" s="3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8"/>
      <c r="D165" s="9"/>
      <c r="E165" s="3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8"/>
      <c r="D166" s="9"/>
      <c r="E166" s="3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8"/>
      <c r="D167" s="9"/>
      <c r="E167" s="3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8"/>
      <c r="D168" s="9"/>
      <c r="E168" s="3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8"/>
      <c r="D169" s="9"/>
      <c r="E169" s="3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8"/>
      <c r="D170" s="9"/>
      <c r="E170" s="3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8"/>
      <c r="D171" s="9"/>
      <c r="E171" s="3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8"/>
      <c r="D172" s="9"/>
      <c r="E172" s="3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8"/>
      <c r="D173" s="9"/>
      <c r="E173" s="3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8"/>
      <c r="D174" s="9"/>
      <c r="E174" s="3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8"/>
      <c r="D175" s="9"/>
      <c r="E175" s="3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8"/>
      <c r="D176" s="9"/>
      <c r="E176" s="3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8"/>
      <c r="D177" s="9"/>
      <c r="E177" s="3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8"/>
      <c r="D178" s="9"/>
      <c r="E178" s="3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8"/>
      <c r="D179" s="9"/>
      <c r="E179" s="3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8"/>
      <c r="D180" s="9"/>
      <c r="E180" s="3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8"/>
      <c r="D181" s="9"/>
      <c r="E181" s="3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8"/>
      <c r="D182" s="9"/>
      <c r="E182" s="3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8"/>
      <c r="D183" s="9"/>
      <c r="E183" s="3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8"/>
      <c r="D184" s="9"/>
      <c r="E184" s="3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8"/>
      <c r="D185" s="9"/>
      <c r="E185" s="3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8"/>
      <c r="D186" s="9"/>
      <c r="E186" s="3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8"/>
      <c r="D187" s="9"/>
      <c r="E187" s="3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8"/>
      <c r="D188" s="9"/>
      <c r="E188" s="3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8"/>
      <c r="D189" s="9"/>
      <c r="E189" s="3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8"/>
      <c r="D190" s="9"/>
      <c r="E190" s="3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8"/>
      <c r="D191" s="9"/>
      <c r="E191" s="3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8"/>
      <c r="D192" s="9"/>
      <c r="E192" s="3"/>
      <c r="F192" s="8"/>
      <c r="G192" s="8"/>
      <c r="H192" s="8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8"/>
      <c r="D193" s="9"/>
      <c r="E193" s="3"/>
      <c r="F193" s="8"/>
      <c r="G193" s="8"/>
      <c r="H193" s="8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8"/>
      <c r="D194" s="9"/>
      <c r="E194" s="3"/>
      <c r="F194" s="8"/>
      <c r="G194" s="8"/>
      <c r="H194" s="8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8"/>
      <c r="D195" s="9"/>
      <c r="E195" s="3"/>
      <c r="F195" s="8"/>
      <c r="G195" s="8"/>
      <c r="H195" s="8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8"/>
      <c r="D196" s="9"/>
      <c r="E196" s="3"/>
      <c r="F196" s="8"/>
      <c r="G196" s="8"/>
      <c r="H196" s="8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8"/>
      <c r="D197" s="9"/>
      <c r="E197" s="3"/>
      <c r="F197" s="8"/>
      <c r="G197" s="8"/>
      <c r="H197" s="8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8"/>
      <c r="D198" s="9"/>
      <c r="E198" s="3"/>
      <c r="F198" s="8"/>
      <c r="G198" s="8"/>
      <c r="H198" s="8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8"/>
      <c r="D199" s="9"/>
      <c r="E199" s="3"/>
      <c r="F199" s="8"/>
      <c r="G199" s="8"/>
      <c r="H199" s="8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8"/>
      <c r="D200" s="9"/>
      <c r="E200" s="3"/>
      <c r="F200" s="8"/>
      <c r="G200" s="8"/>
      <c r="H200" s="8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8"/>
      <c r="D201" s="9"/>
      <c r="E201" s="3"/>
      <c r="F201" s="8"/>
      <c r="G201" s="8"/>
      <c r="H201" s="8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8"/>
      <c r="D202" s="9"/>
      <c r="E202" s="3"/>
      <c r="F202" s="8"/>
      <c r="G202" s="8"/>
      <c r="H202" s="8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8"/>
      <c r="D203" s="9"/>
      <c r="E203" s="3"/>
      <c r="F203" s="8"/>
      <c r="G203" s="8"/>
      <c r="H203" s="8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8"/>
      <c r="D204" s="9"/>
      <c r="E204" s="3"/>
      <c r="F204" s="8"/>
      <c r="G204" s="8"/>
      <c r="H204" s="8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8"/>
      <c r="D205" s="9"/>
      <c r="E205" s="3"/>
      <c r="F205" s="8"/>
      <c r="G205" s="8"/>
      <c r="H205" s="8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8"/>
      <c r="D206" s="9"/>
      <c r="E206" s="3"/>
      <c r="F206" s="8"/>
      <c r="G206" s="8"/>
      <c r="H206" s="8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8"/>
      <c r="D207" s="9"/>
      <c r="E207" s="3"/>
      <c r="F207" s="8"/>
      <c r="G207" s="8"/>
      <c r="H207" s="8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8"/>
      <c r="D208" s="9"/>
      <c r="E208" s="3"/>
      <c r="F208" s="8"/>
      <c r="G208" s="8"/>
      <c r="H208" s="8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8"/>
      <c r="D209" s="9"/>
      <c r="E209" s="3"/>
      <c r="F209" s="8"/>
      <c r="G209" s="8"/>
      <c r="H209" s="8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8"/>
      <c r="D210" s="9"/>
      <c r="E210" s="3"/>
      <c r="F210" s="8"/>
      <c r="G210" s="8"/>
      <c r="H210" s="8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8"/>
      <c r="D211" s="9"/>
      <c r="E211" s="3"/>
      <c r="F211" s="8"/>
      <c r="G211" s="8"/>
      <c r="H211" s="8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8"/>
      <c r="D212" s="9"/>
      <c r="E212" s="3"/>
      <c r="F212" s="8"/>
      <c r="G212" s="8"/>
      <c r="H212" s="8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8"/>
      <c r="D213" s="9"/>
      <c r="E213" s="3"/>
      <c r="F213" s="8"/>
      <c r="G213" s="8"/>
      <c r="H213" s="8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8"/>
      <c r="D214" s="9"/>
      <c r="E214" s="3"/>
      <c r="F214" s="8"/>
      <c r="G214" s="8"/>
      <c r="H214" s="8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8"/>
      <c r="D215" s="9"/>
      <c r="E215" s="3"/>
      <c r="F215" s="8"/>
      <c r="G215" s="8"/>
      <c r="H215" s="8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8"/>
      <c r="D216" s="9"/>
      <c r="E216" s="3"/>
      <c r="F216" s="8"/>
      <c r="G216" s="8"/>
      <c r="H216" s="8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8"/>
      <c r="D217" s="9"/>
      <c r="E217" s="3"/>
      <c r="F217" s="8"/>
      <c r="G217" s="8"/>
      <c r="H217" s="8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8"/>
      <c r="D218" s="9"/>
      <c r="E218" s="3"/>
      <c r="F218" s="8"/>
      <c r="G218" s="8"/>
      <c r="H218" s="8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8"/>
      <c r="D219" s="9"/>
      <c r="E219" s="3"/>
      <c r="F219" s="8"/>
      <c r="G219" s="8"/>
      <c r="H219" s="8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8"/>
      <c r="D220" s="9"/>
      <c r="E220" s="3"/>
      <c r="F220" s="8"/>
      <c r="G220" s="8"/>
      <c r="H220" s="8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8"/>
      <c r="D221" s="9"/>
      <c r="E221" s="3"/>
      <c r="F221" s="8"/>
      <c r="G221" s="8"/>
      <c r="H221" s="8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8"/>
      <c r="D222" s="9"/>
      <c r="E222" s="3"/>
      <c r="F222" s="8"/>
      <c r="G222" s="8"/>
      <c r="H222" s="8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8"/>
      <c r="D223" s="9"/>
      <c r="E223" s="3"/>
      <c r="F223" s="8"/>
      <c r="G223" s="8"/>
      <c r="H223" s="8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8"/>
      <c r="D224" s="9"/>
      <c r="E224" s="3"/>
      <c r="F224" s="8"/>
      <c r="G224" s="8"/>
      <c r="H224" s="8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8"/>
      <c r="D225" s="9"/>
      <c r="E225" s="3"/>
      <c r="F225" s="8"/>
      <c r="G225" s="8"/>
      <c r="H225" s="8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8"/>
      <c r="D226" s="9"/>
      <c r="E226" s="3"/>
      <c r="F226" s="8"/>
      <c r="G226" s="8"/>
      <c r="H226" s="8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9" priority="1" operator="equal">
      <formula>"پرداخت"</formula>
    </cfRule>
  </conditionalFormatting>
  <conditionalFormatting sqref="D1:D1000">
    <cfRule type="cellIs" dxfId="1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100-000000000000}">
      <formula1>"داود,محمد,امید"</formula1>
    </dataValidation>
    <dataValidation type="list" allowBlank="1" sqref="D3:D26" xr:uid="{00000000-0002-0000-01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Z1000"/>
  <sheetViews>
    <sheetView workbookViewId="0">
      <selection sqref="A1:J26"/>
    </sheetView>
  </sheetViews>
  <sheetFormatPr defaultColWidth="12.625" defaultRowHeight="15" customHeight="1"/>
  <cols>
    <col min="2" max="2" width="45.875" customWidth="1"/>
    <col min="9" max="9" width="19.5" customWidth="1"/>
    <col min="10" max="10" width="14" customWidth="1"/>
  </cols>
  <sheetData>
    <row r="1" spans="1:26" ht="16.899999999999999">
      <c r="A1" s="118" t="s">
        <v>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103" t="s">
        <v>13</v>
      </c>
      <c r="B3" s="32" t="s">
        <v>15</v>
      </c>
      <c r="C3" s="33">
        <v>4000000</v>
      </c>
      <c r="D3" s="32" t="s">
        <v>19</v>
      </c>
      <c r="E3" s="32" t="s">
        <v>9</v>
      </c>
      <c r="F3" s="34">
        <f t="shared" ref="F3:F26" si="0">IF($D3="","",IF($E3="داود",IF($D3="برداشت",- $C3, $C3),0))</f>
        <v>-4000000</v>
      </c>
      <c r="G3" s="35">
        <f t="shared" ref="G3:G26" si="1">IF($D3="","",IF($E3="محمد",IF($D3="برداشت",- $C3, $C3),0))</f>
        <v>0</v>
      </c>
      <c r="H3" s="34">
        <f t="shared" ref="H3:H26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9.899999999999999">
      <c r="A4" s="103" t="s">
        <v>25</v>
      </c>
      <c r="B4" s="32" t="s">
        <v>26</v>
      </c>
      <c r="C4" s="33">
        <v>1850670</v>
      </c>
      <c r="D4" s="32" t="s">
        <v>19</v>
      </c>
      <c r="E4" s="32" t="s">
        <v>9</v>
      </c>
      <c r="F4" s="34">
        <f t="shared" si="0"/>
        <v>-1850670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Sheet2!J4+Sheet2!J8</f>
        <v>644243000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899999999999999">
      <c r="A5" s="103" t="s">
        <v>38</v>
      </c>
      <c r="B5" s="32" t="s">
        <v>39</v>
      </c>
      <c r="C5" s="33">
        <v>10000000</v>
      </c>
      <c r="D5" s="32" t="s">
        <v>19</v>
      </c>
      <c r="E5" s="32" t="s">
        <v>11</v>
      </c>
      <c r="F5" s="34">
        <f t="shared" si="0"/>
        <v>0</v>
      </c>
      <c r="G5" s="35">
        <f t="shared" si="1"/>
        <v>0</v>
      </c>
      <c r="H5" s="34">
        <f t="shared" si="2"/>
        <v>-10000000</v>
      </c>
      <c r="I5" s="36" t="s">
        <v>10</v>
      </c>
      <c r="J5" s="37">
        <f>Sheet2!J5+Sheet2!J9</f>
        <v>1165600000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899999999999999">
      <c r="A6" s="103" t="s">
        <v>38</v>
      </c>
      <c r="B6" s="32" t="s">
        <v>44</v>
      </c>
      <c r="C6" s="33">
        <v>10000000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-10000000</v>
      </c>
      <c r="I6" s="36" t="s">
        <v>11</v>
      </c>
      <c r="J6" s="37">
        <f>Sheet2!J6+Sheet2!J10</f>
        <v>1151010000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899999999999999">
      <c r="A7" s="103" t="s">
        <v>38</v>
      </c>
      <c r="B7" s="32" t="s">
        <v>49</v>
      </c>
      <c r="C7" s="33">
        <v>5000000</v>
      </c>
      <c r="D7" s="32" t="s">
        <v>19</v>
      </c>
      <c r="E7" s="32" t="s">
        <v>9</v>
      </c>
      <c r="F7" s="34">
        <f t="shared" si="0"/>
        <v>-5000000</v>
      </c>
      <c r="G7" s="35">
        <f t="shared" si="1"/>
        <v>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7.25" customHeight="1">
      <c r="A8" s="103" t="s">
        <v>55</v>
      </c>
      <c r="B8" s="32" t="s">
        <v>56</v>
      </c>
      <c r="C8" s="33">
        <v>2000000</v>
      </c>
      <c r="D8" s="32" t="s">
        <v>19</v>
      </c>
      <c r="E8" s="32" t="s">
        <v>9</v>
      </c>
      <c r="F8" s="34">
        <f t="shared" si="0"/>
        <v>-2000000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-53170670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>
      <c r="A9" s="103" t="s">
        <v>66</v>
      </c>
      <c r="B9" s="32" t="s">
        <v>67</v>
      </c>
      <c r="C9" s="33">
        <v>18000000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-18000000</v>
      </c>
      <c r="H9" s="34">
        <f t="shared" si="2"/>
        <v>0</v>
      </c>
      <c r="I9" s="39" t="s">
        <v>27</v>
      </c>
      <c r="J9" s="40">
        <f>SUM(G3:G501)</f>
        <v>-46850000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899999999999999">
      <c r="A10" s="103" t="s">
        <v>74</v>
      </c>
      <c r="B10" s="32" t="s">
        <v>75</v>
      </c>
      <c r="C10" s="33">
        <f>3500000/2</f>
        <v>1750000</v>
      </c>
      <c r="D10" s="32" t="s">
        <v>19</v>
      </c>
      <c r="E10" s="32" t="s">
        <v>9</v>
      </c>
      <c r="F10" s="34">
        <f t="shared" si="0"/>
        <v>-1750000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-55000000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399999999999999">
      <c r="A11" s="103" t="s">
        <v>74</v>
      </c>
      <c r="B11" s="32" t="s">
        <v>82</v>
      </c>
      <c r="C11" s="33">
        <f>3200000/2</f>
        <v>1600000</v>
      </c>
      <c r="D11" s="32" t="s">
        <v>19</v>
      </c>
      <c r="E11" s="32" t="s">
        <v>9</v>
      </c>
      <c r="F11" s="34">
        <f t="shared" si="0"/>
        <v>-1600000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399999999999999">
      <c r="A12" s="103" t="s">
        <v>74</v>
      </c>
      <c r="B12" s="32" t="s">
        <v>86</v>
      </c>
      <c r="C12" s="33">
        <f>11200000/2</f>
        <v>5600000</v>
      </c>
      <c r="D12" s="32" t="s">
        <v>19</v>
      </c>
      <c r="E12" s="32" t="s">
        <v>9</v>
      </c>
      <c r="F12" s="34">
        <f t="shared" si="0"/>
        <v>-5600000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899999999999999">
      <c r="A13" s="103" t="s">
        <v>95</v>
      </c>
      <c r="B13" s="32" t="s">
        <v>96</v>
      </c>
      <c r="C13" s="33">
        <f>3800000/2</f>
        <v>1900000</v>
      </c>
      <c r="D13" s="32" t="s">
        <v>19</v>
      </c>
      <c r="E13" s="32" t="s">
        <v>9</v>
      </c>
      <c r="F13" s="34">
        <f t="shared" si="0"/>
        <v>-1900000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103" t="s">
        <v>105</v>
      </c>
      <c r="B14" s="32" t="s">
        <v>106</v>
      </c>
      <c r="C14" s="33">
        <v>10000000</v>
      </c>
      <c r="D14" s="32" t="s">
        <v>19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-10000000</v>
      </c>
      <c r="I14" s="41" t="s">
        <v>57</v>
      </c>
      <c r="J14" s="42">
        <f>(J9+J5)- MIN(J8+J4,J9+J5,J10+J6)</f>
        <v>527677670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899999999999999">
      <c r="A15" s="103" t="s">
        <v>105</v>
      </c>
      <c r="B15" s="32" t="s">
        <v>114</v>
      </c>
      <c r="C15" s="33">
        <v>8000000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-8000000</v>
      </c>
      <c r="H15" s="34">
        <f t="shared" si="2"/>
        <v>0</v>
      </c>
      <c r="I15" s="41" t="s">
        <v>63</v>
      </c>
      <c r="J15" s="42">
        <f>(J10+J6)- MIN(J8+J4,J9+J5,J10+J6)</f>
        <v>504937670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399999999999999">
      <c r="A16" s="103" t="s">
        <v>105</v>
      </c>
      <c r="B16" s="32" t="s">
        <v>118</v>
      </c>
      <c r="C16" s="33">
        <v>270000</v>
      </c>
      <c r="D16" s="32" t="s">
        <v>19</v>
      </c>
      <c r="E16" s="32" t="s">
        <v>9</v>
      </c>
      <c r="F16" s="34">
        <f t="shared" si="0"/>
        <v>-270000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399999999999999">
      <c r="A17" s="103" t="s">
        <v>123</v>
      </c>
      <c r="B17" s="32" t="s">
        <v>124</v>
      </c>
      <c r="C17" s="33">
        <v>2000000</v>
      </c>
      <c r="D17" s="32" t="s">
        <v>19</v>
      </c>
      <c r="E17" s="32" t="s">
        <v>9</v>
      </c>
      <c r="F17" s="34">
        <f t="shared" si="0"/>
        <v>-2000000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399999999999999">
      <c r="A18" s="103" t="s">
        <v>126</v>
      </c>
      <c r="B18" s="32" t="s">
        <v>127</v>
      </c>
      <c r="C18" s="33">
        <v>200000</v>
      </c>
      <c r="D18" s="32" t="s">
        <v>19</v>
      </c>
      <c r="E18" s="32" t="s">
        <v>9</v>
      </c>
      <c r="F18" s="34">
        <f t="shared" si="0"/>
        <v>-200000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399999999999999">
      <c r="A19" s="103" t="s">
        <v>131</v>
      </c>
      <c r="B19" s="32" t="s">
        <v>132</v>
      </c>
      <c r="C19" s="33">
        <f>20000000/2</f>
        <v>10000000</v>
      </c>
      <c r="D19" s="32" t="s">
        <v>19</v>
      </c>
      <c r="E19" s="32" t="s">
        <v>9</v>
      </c>
      <c r="F19" s="34">
        <f t="shared" si="0"/>
        <v>-10000000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399999999999999">
      <c r="A20" s="103" t="s">
        <v>131</v>
      </c>
      <c r="B20" s="32" t="s">
        <v>137</v>
      </c>
      <c r="C20" s="33">
        <f>SUM(C10,C11,C12,C13,C19)</f>
        <v>20850000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-20850000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>
      <c r="A21" s="103" t="s">
        <v>131</v>
      </c>
      <c r="B21" s="32" t="s">
        <v>142</v>
      </c>
      <c r="C21" s="33">
        <v>15000000</v>
      </c>
      <c r="D21" s="32" t="s">
        <v>19</v>
      </c>
      <c r="E21" s="32" t="s">
        <v>9</v>
      </c>
      <c r="F21" s="34">
        <f t="shared" si="0"/>
        <v>-15000000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>
      <c r="A22" s="103" t="s">
        <v>146</v>
      </c>
      <c r="B22" s="32" t="s">
        <v>147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103" t="s">
        <v>150</v>
      </c>
      <c r="B23" s="32" t="s">
        <v>151</v>
      </c>
      <c r="C23" s="33">
        <v>15000000</v>
      </c>
      <c r="D23" s="32" t="s">
        <v>19</v>
      </c>
      <c r="E23" s="32" t="s">
        <v>11</v>
      </c>
      <c r="F23" s="34">
        <f t="shared" si="0"/>
        <v>0</v>
      </c>
      <c r="G23" s="35">
        <f t="shared" si="1"/>
        <v>0</v>
      </c>
      <c r="H23" s="34">
        <f t="shared" si="2"/>
        <v>-15000000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32" t="s">
        <v>152</v>
      </c>
      <c r="B24" s="32" t="s">
        <v>120</v>
      </c>
      <c r="C24" s="33">
        <v>2000000</v>
      </c>
      <c r="D24" s="32" t="s">
        <v>19</v>
      </c>
      <c r="E24" s="32" t="s">
        <v>9</v>
      </c>
      <c r="F24" s="34">
        <f t="shared" si="0"/>
        <v>-2000000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>
      <c r="A25" s="103"/>
      <c r="B25" s="104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>
      <c r="A27" s="2"/>
      <c r="B27" s="2"/>
      <c r="C27" s="6"/>
      <c r="D27" s="7"/>
      <c r="E27" s="2"/>
      <c r="F27" s="6"/>
      <c r="G27" s="6"/>
      <c r="H27" s="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>
      <c r="A28" s="2"/>
      <c r="B28" s="2"/>
      <c r="C28" s="6"/>
      <c r="D28" s="7"/>
      <c r="E28" s="2"/>
      <c r="F28" s="6"/>
      <c r="G28" s="6"/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>
      <c r="A29" s="2"/>
      <c r="B29" s="2"/>
      <c r="C29" s="6"/>
      <c r="D29" s="7"/>
      <c r="E29" s="2"/>
      <c r="F29" s="6"/>
      <c r="G29" s="6"/>
      <c r="H29" s="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>
      <c r="A30" s="2"/>
      <c r="B30" s="2"/>
      <c r="C30" s="6"/>
      <c r="D30" s="7"/>
      <c r="E30" s="2"/>
      <c r="F30" s="6"/>
      <c r="G30" s="6"/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>
      <c r="A31" s="2"/>
      <c r="B31" s="2"/>
      <c r="C31" s="6"/>
      <c r="D31" s="7"/>
      <c r="E31" s="2"/>
      <c r="F31" s="6"/>
      <c r="G31" s="6"/>
      <c r="H31" s="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>
      <c r="A32" s="2"/>
      <c r="B32" s="2"/>
      <c r="C32" s="6"/>
      <c r="D32" s="7"/>
      <c r="E32" s="2"/>
      <c r="F32" s="6"/>
      <c r="G32" s="6"/>
      <c r="H32" s="6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>
      <c r="A33" s="2"/>
      <c r="B33" s="2"/>
      <c r="C33" s="6"/>
      <c r="D33" s="7"/>
      <c r="E33" s="2"/>
      <c r="F33" s="6"/>
      <c r="G33" s="6"/>
      <c r="H33" s="6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>
      <c r="A34" s="2"/>
      <c r="B34" s="2"/>
      <c r="C34" s="6"/>
      <c r="D34" s="7"/>
      <c r="E34" s="2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7" priority="1" operator="equal">
      <formula>"پرداخت"</formula>
    </cfRule>
  </conditionalFormatting>
  <conditionalFormatting sqref="D1:D1000">
    <cfRule type="cellIs" dxfId="1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200-000000000000}">
      <formula1>"داود,محمد,امید"</formula1>
    </dataValidation>
    <dataValidation type="list" allowBlank="1" sqref="D3:D26" xr:uid="{00000000-0002-0000-02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outlinePr summaryBelow="0" summaryRight="0"/>
  </sheetPr>
  <dimension ref="A1:Z1000"/>
  <sheetViews>
    <sheetView workbookViewId="0">
      <selection sqref="A1:J31"/>
    </sheetView>
  </sheetViews>
  <sheetFormatPr defaultColWidth="12.625" defaultRowHeight="15" customHeight="1"/>
  <cols>
    <col min="2" max="2" width="52.5" customWidth="1"/>
    <col min="9" max="9" width="18.375" customWidth="1"/>
    <col min="10" max="10" width="14.75" customWidth="1"/>
  </cols>
  <sheetData>
    <row r="1" spans="1:26" ht="15" customHeight="1">
      <c r="A1" s="118" t="s">
        <v>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20</v>
      </c>
      <c r="B3" s="32" t="s">
        <v>21</v>
      </c>
      <c r="C3" s="33">
        <v>1998723</v>
      </c>
      <c r="D3" s="32" t="s">
        <v>19</v>
      </c>
      <c r="E3" s="32" t="s">
        <v>9</v>
      </c>
      <c r="F3" s="34">
        <f t="shared" ref="F3:F31" si="0">IF($D3="","",IF($E3="داود",IF($D3="برداشت",- $C3, $C3),0))</f>
        <v>-1998723</v>
      </c>
      <c r="G3" s="35">
        <f t="shared" ref="G3:G31" si="1">IF($D3="","",IF($E3="محمد",IF($D3="برداشت",- $C3, $C3),0))</f>
        <v>0</v>
      </c>
      <c r="H3" s="34">
        <f t="shared" ref="H3:H31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36</v>
      </c>
      <c r="B4" s="32" t="s">
        <v>37</v>
      </c>
      <c r="C4" s="33">
        <v>470000</v>
      </c>
      <c r="D4" s="32" t="s">
        <v>19</v>
      </c>
      <c r="E4" s="32" t="s">
        <v>9</v>
      </c>
      <c r="F4" s="34">
        <f t="shared" si="0"/>
        <v>-470000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Sheet3!J4+Sheet3!J8</f>
        <v>591072330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48</v>
      </c>
      <c r="B5" s="32" t="s">
        <v>50</v>
      </c>
      <c r="C5" s="33">
        <v>8000000</v>
      </c>
      <c r="D5" s="32" t="s">
        <v>19</v>
      </c>
      <c r="E5" s="32" t="s">
        <v>9</v>
      </c>
      <c r="F5" s="34">
        <f t="shared" si="0"/>
        <v>-8000000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Sheet3!J5+Sheet3!J9</f>
        <v>1118750000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 t="s">
        <v>48</v>
      </c>
      <c r="B6" s="32" t="s">
        <v>60</v>
      </c>
      <c r="C6" s="33">
        <f>1200000+254000+589000+150000+4885000</f>
        <v>7078000</v>
      </c>
      <c r="D6" s="32" t="s">
        <v>31</v>
      </c>
      <c r="E6" s="32" t="s">
        <v>9</v>
      </c>
      <c r="F6" s="34">
        <f t="shared" si="0"/>
        <v>7078000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Sheet3!J6+Sheet3!J10</f>
        <v>1096010000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 t="s">
        <v>72</v>
      </c>
      <c r="B7" s="32" t="s">
        <v>73</v>
      </c>
      <c r="C7" s="33">
        <v>10000000</v>
      </c>
      <c r="D7" s="32" t="s">
        <v>19</v>
      </c>
      <c r="E7" s="32" t="s">
        <v>11</v>
      </c>
      <c r="F7" s="34">
        <f t="shared" si="0"/>
        <v>0</v>
      </c>
      <c r="G7" s="35">
        <f t="shared" si="1"/>
        <v>0</v>
      </c>
      <c r="H7" s="34">
        <f t="shared" si="2"/>
        <v>-10000000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 t="s">
        <v>78</v>
      </c>
      <c r="B8" s="32" t="s">
        <v>80</v>
      </c>
      <c r="C8" s="33">
        <v>24025000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-24025000</v>
      </c>
      <c r="H8" s="34">
        <f t="shared" si="2"/>
        <v>0</v>
      </c>
      <c r="I8" s="39" t="s">
        <v>22</v>
      </c>
      <c r="J8" s="40">
        <f>SUM(F3:F501)</f>
        <v>-60170246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 t="s">
        <v>78</v>
      </c>
      <c r="B9" s="32" t="s">
        <v>92</v>
      </c>
      <c r="C9" s="33">
        <v>24025000</v>
      </c>
      <c r="D9" s="32" t="s">
        <v>19</v>
      </c>
      <c r="E9" s="32" t="s">
        <v>9</v>
      </c>
      <c r="F9" s="34">
        <f t="shared" si="0"/>
        <v>-24025000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-48378650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 t="s">
        <v>102</v>
      </c>
      <c r="B10" s="32" t="s">
        <v>103</v>
      </c>
      <c r="C10" s="33">
        <v>2000000</v>
      </c>
      <c r="D10" s="32" t="s">
        <v>19</v>
      </c>
      <c r="E10" s="32" t="s">
        <v>9</v>
      </c>
      <c r="F10" s="34">
        <f t="shared" si="0"/>
        <v>-2000000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-47001600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 t="s">
        <v>110</v>
      </c>
      <c r="B11" s="32" t="s">
        <v>111</v>
      </c>
      <c r="C11" s="33">
        <v>2000000</v>
      </c>
      <c r="D11" s="32" t="s">
        <v>19</v>
      </c>
      <c r="E11" s="32" t="s">
        <v>9</v>
      </c>
      <c r="F11" s="34">
        <f t="shared" si="0"/>
        <v>-2000000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 t="s">
        <v>116</v>
      </c>
      <c r="B12" s="32" t="s">
        <v>73</v>
      </c>
      <c r="C12" s="33">
        <v>15000000</v>
      </c>
      <c r="D12" s="32" t="s">
        <v>19</v>
      </c>
      <c r="E12" s="32" t="s">
        <v>11</v>
      </c>
      <c r="F12" s="34">
        <f t="shared" si="0"/>
        <v>0</v>
      </c>
      <c r="G12" s="35">
        <f t="shared" si="1"/>
        <v>0</v>
      </c>
      <c r="H12" s="34">
        <f t="shared" si="2"/>
        <v>-15000000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 t="s">
        <v>121</v>
      </c>
      <c r="B13" s="32" t="s">
        <v>122</v>
      </c>
      <c r="C13" s="33">
        <v>20000000</v>
      </c>
      <c r="D13" s="32" t="s">
        <v>19</v>
      </c>
      <c r="E13" s="32" t="s">
        <v>9</v>
      </c>
      <c r="F13" s="34">
        <f t="shared" si="0"/>
        <v>-20000000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 t="s">
        <v>134</v>
      </c>
      <c r="B14" s="32" t="s">
        <v>136</v>
      </c>
      <c r="C14" s="33">
        <f>1450000/2</f>
        <v>725000</v>
      </c>
      <c r="D14" s="32" t="s">
        <v>19</v>
      </c>
      <c r="E14" s="32" t="s">
        <v>9</v>
      </c>
      <c r="F14" s="34">
        <f t="shared" si="0"/>
        <v>-725000</v>
      </c>
      <c r="G14" s="35">
        <f t="shared" si="1"/>
        <v>0</v>
      </c>
      <c r="H14" s="34">
        <f t="shared" si="2"/>
        <v>0</v>
      </c>
      <c r="I14" s="41" t="s">
        <v>57</v>
      </c>
      <c r="J14" s="42">
        <f>(J9+J5)- MIN(J8+J4,J9+J5,J10+J6)</f>
        <v>539469266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 t="s">
        <v>134</v>
      </c>
      <c r="B15" s="32" t="s">
        <v>148</v>
      </c>
      <c r="C15" s="33">
        <f>C14</f>
        <v>725000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-725000</v>
      </c>
      <c r="H15" s="34">
        <f t="shared" si="2"/>
        <v>0</v>
      </c>
      <c r="I15" s="41" t="s">
        <v>63</v>
      </c>
      <c r="J15" s="42">
        <f>(J10+J6)- MIN(J8+J4,J9+J5,J10+J6)</f>
        <v>518106316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 t="s">
        <v>155</v>
      </c>
      <c r="B16" s="32" t="s">
        <v>73</v>
      </c>
      <c r="C16" s="33">
        <v>15000000</v>
      </c>
      <c r="D16" s="32" t="s">
        <v>19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-15000000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 t="s">
        <v>155</v>
      </c>
      <c r="B17" s="32" t="s">
        <v>157</v>
      </c>
      <c r="C17" s="33">
        <f>5004000/5</f>
        <v>1000800</v>
      </c>
      <c r="D17" s="32" t="s">
        <v>19</v>
      </c>
      <c r="E17" s="32" t="s">
        <v>9</v>
      </c>
      <c r="F17" s="34">
        <f t="shared" si="0"/>
        <v>-1000800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 t="s">
        <v>155</v>
      </c>
      <c r="B18" s="32" t="s">
        <v>160</v>
      </c>
      <c r="C18" s="33">
        <f>C17*2</f>
        <v>2001600</v>
      </c>
      <c r="D18" s="32" t="s">
        <v>19</v>
      </c>
      <c r="E18" s="32" t="s">
        <v>10</v>
      </c>
      <c r="F18" s="34">
        <f t="shared" si="0"/>
        <v>0</v>
      </c>
      <c r="G18" s="35">
        <f t="shared" si="1"/>
        <v>-2001600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 t="s">
        <v>155</v>
      </c>
      <c r="B19" s="32" t="s">
        <v>162</v>
      </c>
      <c r="C19" s="33">
        <f>C17*2</f>
        <v>2001600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-2001600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 t="s">
        <v>164</v>
      </c>
      <c r="B20" s="32" t="s">
        <v>165</v>
      </c>
      <c r="C20" s="33">
        <v>5000000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-5000000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 t="s">
        <v>164</v>
      </c>
      <c r="B21" s="32" t="s">
        <v>166</v>
      </c>
      <c r="C21" s="33">
        <v>14500000</v>
      </c>
      <c r="D21" s="32" t="s">
        <v>19</v>
      </c>
      <c r="E21" s="32" t="s">
        <v>10</v>
      </c>
      <c r="F21" s="34">
        <f t="shared" si="0"/>
        <v>0</v>
      </c>
      <c r="G21" s="35">
        <f t="shared" si="1"/>
        <v>-14500000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 t="s">
        <v>168</v>
      </c>
      <c r="B22" s="32" t="s">
        <v>169</v>
      </c>
      <c r="C22" s="33">
        <v>2100000</v>
      </c>
      <c r="D22" s="32" t="s">
        <v>19</v>
      </c>
      <c r="E22" s="32" t="s">
        <v>9</v>
      </c>
      <c r="F22" s="34">
        <f t="shared" si="0"/>
        <v>-2100000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 t="s">
        <v>168</v>
      </c>
      <c r="B23" s="32" t="s">
        <v>171</v>
      </c>
      <c r="C23" s="33">
        <v>2100000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-2100000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 t="s">
        <v>174</v>
      </c>
      <c r="B24" s="32" t="s">
        <v>175</v>
      </c>
      <c r="C24" s="33">
        <v>1998723</v>
      </c>
      <c r="D24" s="32" t="s">
        <v>19</v>
      </c>
      <c r="E24" s="32" t="s">
        <v>9</v>
      </c>
      <c r="F24" s="34">
        <f t="shared" si="0"/>
        <v>-1998723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 t="s">
        <v>178</v>
      </c>
      <c r="B25" s="105" t="s">
        <v>179</v>
      </c>
      <c r="C25" s="33">
        <v>2000000</v>
      </c>
      <c r="D25" s="32" t="s">
        <v>19</v>
      </c>
      <c r="E25" s="32" t="s">
        <v>9</v>
      </c>
      <c r="F25" s="34">
        <f t="shared" si="0"/>
        <v>-2000000</v>
      </c>
      <c r="G25" s="35">
        <f t="shared" si="1"/>
        <v>0</v>
      </c>
      <c r="H25" s="34">
        <f t="shared" si="2"/>
        <v>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 t="s">
        <v>182</v>
      </c>
      <c r="B26" s="32" t="s">
        <v>183</v>
      </c>
      <c r="C26" s="33">
        <v>5000000</v>
      </c>
      <c r="D26" s="32" t="s">
        <v>19</v>
      </c>
      <c r="E26" s="32" t="s">
        <v>11</v>
      </c>
      <c r="F26" s="34">
        <f t="shared" si="0"/>
        <v>0</v>
      </c>
      <c r="G26" s="35">
        <f t="shared" si="1"/>
        <v>0</v>
      </c>
      <c r="H26" s="34">
        <f t="shared" si="2"/>
        <v>-5000000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46" t="s">
        <v>185</v>
      </c>
      <c r="B27" s="46" t="s">
        <v>186</v>
      </c>
      <c r="C27" s="106">
        <f>25000+800000+30000+75000</f>
        <v>930000</v>
      </c>
      <c r="D27" s="32" t="s">
        <v>19</v>
      </c>
      <c r="E27" s="46" t="s">
        <v>9</v>
      </c>
      <c r="F27" s="34">
        <f t="shared" si="0"/>
        <v>-930000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46" t="s">
        <v>185</v>
      </c>
      <c r="B28" s="46" t="s">
        <v>188</v>
      </c>
      <c r="C28" s="107">
        <v>27050</v>
      </c>
      <c r="D28" s="32" t="s">
        <v>19</v>
      </c>
      <c r="E28" s="46" t="s">
        <v>10</v>
      </c>
      <c r="F28" s="34">
        <f t="shared" si="0"/>
        <v>0</v>
      </c>
      <c r="G28" s="35">
        <f t="shared" si="1"/>
        <v>-27050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46"/>
      <c r="B29" s="46"/>
      <c r="C29" s="107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46"/>
      <c r="B30" s="46"/>
      <c r="C30" s="107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46"/>
      <c r="B31" s="46"/>
      <c r="C31" s="107"/>
      <c r="D31" s="108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2"/>
      <c r="B32" s="2"/>
      <c r="C32" s="6"/>
      <c r="D32" s="7"/>
      <c r="E32" s="2"/>
      <c r="F32" s="11"/>
      <c r="G32" s="11"/>
      <c r="H32" s="1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2"/>
      <c r="B33" s="2"/>
      <c r="C33" s="6"/>
      <c r="D33" s="7"/>
      <c r="E33" s="2"/>
      <c r="F33" s="11"/>
      <c r="G33" s="11"/>
      <c r="H33" s="1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2"/>
      <c r="B34" s="2"/>
      <c r="C34" s="6"/>
      <c r="D34" s="7"/>
      <c r="E34" s="2"/>
      <c r="F34" s="11"/>
      <c r="G34" s="11"/>
      <c r="H34" s="1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5" priority="1" operator="equal">
      <formula>"پرداخت"</formula>
    </cfRule>
  </conditionalFormatting>
  <conditionalFormatting sqref="D1:D1000">
    <cfRule type="cellIs" dxfId="1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2:E1000" xr:uid="{00000000-0002-0000-0300-000000000000}">
      <formula1>"داود,محمد,امید"</formula1>
    </dataValidation>
    <dataValidation type="list" allowBlank="1" sqref="D3:D30" xr:uid="{00000000-0002-0000-0300-000001000000}">
      <formula1>"برداشت,پرداخت"</formula1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53734"/>
  </sheetPr>
  <dimension ref="A1:Z1000"/>
  <sheetViews>
    <sheetView workbookViewId="0">
      <selection sqref="A1:J35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196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09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0" t="s">
        <v>197</v>
      </c>
      <c r="B3" s="32" t="s">
        <v>198</v>
      </c>
      <c r="C3" s="33">
        <v>5003000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-5003000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0" t="s">
        <v>199</v>
      </c>
      <c r="B4" s="32" t="s">
        <v>200</v>
      </c>
      <c r="C4" s="33">
        <v>40008000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-40008000</v>
      </c>
      <c r="I4" s="36" t="s">
        <v>9</v>
      </c>
      <c r="J4" s="37">
        <f>Sheet4!J4+Sheet4!J8</f>
        <v>530902084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0" t="s">
        <v>201</v>
      </c>
      <c r="B5" s="32" t="s">
        <v>202</v>
      </c>
      <c r="C5" s="33">
        <f>1300000/2</f>
        <v>650000</v>
      </c>
      <c r="D5" s="32" t="s">
        <v>19</v>
      </c>
      <c r="E5" s="32" t="s">
        <v>9</v>
      </c>
      <c r="F5" s="34">
        <f t="shared" si="0"/>
        <v>-650000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Sheet4!J5+Sheet4!J9</f>
        <v>1070371350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0" t="s">
        <v>201</v>
      </c>
      <c r="B6" s="32" t="s">
        <v>203</v>
      </c>
      <c r="C6" s="33">
        <f>C5</f>
        <v>650000</v>
      </c>
      <c r="D6" s="32" t="s">
        <v>19</v>
      </c>
      <c r="E6" s="32" t="s">
        <v>10</v>
      </c>
      <c r="F6" s="34">
        <f t="shared" si="0"/>
        <v>0</v>
      </c>
      <c r="G6" s="35">
        <f t="shared" si="1"/>
        <v>-650000</v>
      </c>
      <c r="H6" s="34">
        <f t="shared" si="2"/>
        <v>0</v>
      </c>
      <c r="I6" s="36" t="s">
        <v>11</v>
      </c>
      <c r="J6" s="37">
        <f>Sheet4!J6+Sheet4!J10</f>
        <v>1049008400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0" t="s">
        <v>204</v>
      </c>
      <c r="B7" s="32" t="s">
        <v>205</v>
      </c>
      <c r="C7" s="33">
        <v>21300000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-21300000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0" t="s">
        <v>204</v>
      </c>
      <c r="B8" s="32" t="s">
        <v>206</v>
      </c>
      <c r="C8" s="33">
        <v>110000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-110000</v>
      </c>
      <c r="H8" s="34">
        <f t="shared" si="2"/>
        <v>0</v>
      </c>
      <c r="I8" s="39" t="s">
        <v>22</v>
      </c>
      <c r="J8" s="40">
        <f>SUM(F3:F501)</f>
        <v>-34465000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10" t="s">
        <v>207</v>
      </c>
      <c r="B9" s="32" t="s">
        <v>208</v>
      </c>
      <c r="C9" s="33">
        <v>200000</v>
      </c>
      <c r="D9" s="32" t="s">
        <v>19</v>
      </c>
      <c r="E9" s="32" t="s">
        <v>9</v>
      </c>
      <c r="F9" s="34">
        <f t="shared" si="0"/>
        <v>-200000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-28885000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10" t="s">
        <v>209</v>
      </c>
      <c r="B10" s="32" t="s">
        <v>210</v>
      </c>
      <c r="C10" s="33">
        <f>1950000/2</f>
        <v>975000</v>
      </c>
      <c r="D10" s="32" t="s">
        <v>19</v>
      </c>
      <c r="E10" s="32" t="s">
        <v>9</v>
      </c>
      <c r="F10" s="34">
        <f t="shared" si="0"/>
        <v>-975000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-44961000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10" t="s">
        <v>209</v>
      </c>
      <c r="B11" s="32" t="s">
        <v>211</v>
      </c>
      <c r="C11" s="33">
        <f>C10</f>
        <v>975000</v>
      </c>
      <c r="D11" s="32" t="s">
        <v>19</v>
      </c>
      <c r="E11" s="32" t="s">
        <v>10</v>
      </c>
      <c r="F11" s="34">
        <f t="shared" si="0"/>
        <v>0</v>
      </c>
      <c r="G11" s="35">
        <f t="shared" si="1"/>
        <v>-975000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10" t="s">
        <v>209</v>
      </c>
      <c r="B12" s="32" t="s">
        <v>212</v>
      </c>
      <c r="C12" s="33">
        <v>450000</v>
      </c>
      <c r="D12" s="32" t="s">
        <v>19</v>
      </c>
      <c r="E12" s="32" t="s">
        <v>9</v>
      </c>
      <c r="F12" s="34">
        <f t="shared" si="0"/>
        <v>-450000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10" t="s">
        <v>214</v>
      </c>
      <c r="B13" s="32" t="s">
        <v>215</v>
      </c>
      <c r="C13" s="33">
        <v>10000000</v>
      </c>
      <c r="D13" s="32" t="s">
        <v>19</v>
      </c>
      <c r="E13" s="32" t="s">
        <v>9</v>
      </c>
      <c r="F13" s="34">
        <f t="shared" si="0"/>
        <v>-10000000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10" t="s">
        <v>214</v>
      </c>
      <c r="B14" s="32" t="s">
        <v>217</v>
      </c>
      <c r="C14" s="33">
        <v>5850000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-5850000</v>
      </c>
      <c r="H14" s="34">
        <f t="shared" si="2"/>
        <v>0</v>
      </c>
      <c r="I14" s="41" t="s">
        <v>57</v>
      </c>
      <c r="J14" s="42">
        <f>(J9+J5)- MIN(J8+J4,J9+J5,J10+J6)</f>
        <v>545049266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10" t="s">
        <v>219</v>
      </c>
      <c r="B15" s="32" t="s">
        <v>220</v>
      </c>
      <c r="C15" s="33">
        <v>5000000</v>
      </c>
      <c r="D15" s="32" t="s">
        <v>31</v>
      </c>
      <c r="E15" s="32" t="s">
        <v>9</v>
      </c>
      <c r="F15" s="34">
        <f t="shared" si="0"/>
        <v>5000000</v>
      </c>
      <c r="G15" s="35">
        <f t="shared" si="1"/>
        <v>0</v>
      </c>
      <c r="H15" s="34">
        <f t="shared" si="2"/>
        <v>0</v>
      </c>
      <c r="I15" s="41" t="s">
        <v>63</v>
      </c>
      <c r="J15" s="42">
        <f>(J10+J6)- MIN(J8+J4,J9+J5,J10+J6)</f>
        <v>507610316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10" t="s">
        <v>221</v>
      </c>
      <c r="B16" s="32" t="s">
        <v>222</v>
      </c>
      <c r="C16" s="33">
        <v>50000000</v>
      </c>
      <c r="D16" s="32" t="s">
        <v>19</v>
      </c>
      <c r="E16" s="32" t="s">
        <v>9</v>
      </c>
      <c r="F16" s="34">
        <f t="shared" si="0"/>
        <v>-50000000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10" t="s">
        <v>221</v>
      </c>
      <c r="B17" s="32" t="s">
        <v>223</v>
      </c>
      <c r="C17" s="33">
        <v>23200000</v>
      </c>
      <c r="D17" s="32" t="s">
        <v>31</v>
      </c>
      <c r="E17" s="32" t="s">
        <v>9</v>
      </c>
      <c r="F17" s="34">
        <f t="shared" si="0"/>
        <v>23200000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10" t="s">
        <v>224</v>
      </c>
      <c r="B18" s="32" t="s">
        <v>225</v>
      </c>
      <c r="C18" s="33">
        <v>14000000</v>
      </c>
      <c r="D18" s="32" t="s">
        <v>31</v>
      </c>
      <c r="E18" s="32" t="s">
        <v>9</v>
      </c>
      <c r="F18" s="34">
        <f t="shared" si="0"/>
        <v>14000000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10" t="s">
        <v>226</v>
      </c>
      <c r="B19" s="32" t="s">
        <v>227</v>
      </c>
      <c r="C19" s="33">
        <v>400000</v>
      </c>
      <c r="D19" s="32" t="s">
        <v>19</v>
      </c>
      <c r="E19" s="32" t="s">
        <v>9</v>
      </c>
      <c r="F19" s="34">
        <f t="shared" si="0"/>
        <v>-400000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10" t="s">
        <v>226</v>
      </c>
      <c r="B20" s="32" t="s">
        <v>228</v>
      </c>
      <c r="C20" s="33">
        <v>200000</v>
      </c>
      <c r="D20" s="32" t="s">
        <v>31</v>
      </c>
      <c r="E20" s="32" t="s">
        <v>9</v>
      </c>
      <c r="F20" s="34">
        <f t="shared" si="0"/>
        <v>200000</v>
      </c>
      <c r="G20" s="35">
        <f t="shared" si="1"/>
        <v>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10" t="s">
        <v>229</v>
      </c>
      <c r="B21" s="32" t="s">
        <v>230</v>
      </c>
      <c r="C21" s="33">
        <v>6000000</v>
      </c>
      <c r="D21" s="32" t="s">
        <v>31</v>
      </c>
      <c r="E21" s="32" t="s">
        <v>9</v>
      </c>
      <c r="F21" s="34">
        <f t="shared" si="0"/>
        <v>6000000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10" t="s">
        <v>232</v>
      </c>
      <c r="B22" s="32" t="s">
        <v>233</v>
      </c>
      <c r="C22" s="33">
        <v>2000000</v>
      </c>
      <c r="D22" s="32" t="s">
        <v>19</v>
      </c>
      <c r="E22" s="32" t="s">
        <v>9</v>
      </c>
      <c r="F22" s="34">
        <f t="shared" si="0"/>
        <v>-2000000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10" t="s">
        <v>232</v>
      </c>
      <c r="B23" s="32" t="s">
        <v>234</v>
      </c>
      <c r="C23" s="33">
        <v>25000000</v>
      </c>
      <c r="D23" s="32" t="s">
        <v>19</v>
      </c>
      <c r="E23" s="32" t="s">
        <v>9</v>
      </c>
      <c r="F23" s="34">
        <f t="shared" si="0"/>
        <v>-25000000</v>
      </c>
      <c r="G23" s="35">
        <f t="shared" si="1"/>
        <v>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10" t="s">
        <v>232</v>
      </c>
      <c r="B24" s="32" t="s">
        <v>235</v>
      </c>
      <c r="C24" s="33">
        <v>1530000</v>
      </c>
      <c r="D24" s="32" t="s">
        <v>31</v>
      </c>
      <c r="E24" s="32" t="s">
        <v>9</v>
      </c>
      <c r="F24" s="34">
        <f t="shared" si="0"/>
        <v>1530000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10" t="s">
        <v>237</v>
      </c>
      <c r="B25" s="32" t="s">
        <v>238</v>
      </c>
      <c r="C25" s="33">
        <v>50000</v>
      </c>
      <c r="D25" s="32" t="s">
        <v>31</v>
      </c>
      <c r="E25" s="32" t="s">
        <v>11</v>
      </c>
      <c r="F25" s="34">
        <f t="shared" si="0"/>
        <v>0</v>
      </c>
      <c r="G25" s="35">
        <f t="shared" si="1"/>
        <v>0</v>
      </c>
      <c r="H25" s="34">
        <f t="shared" si="2"/>
        <v>50000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10" t="s">
        <v>240</v>
      </c>
      <c r="B26" s="32" t="s">
        <v>241</v>
      </c>
      <c r="C26" s="33">
        <v>380000</v>
      </c>
      <c r="D26" s="32" t="s">
        <v>31</v>
      </c>
      <c r="E26" s="32" t="s">
        <v>9</v>
      </c>
      <c r="F26" s="34">
        <f t="shared" si="0"/>
        <v>380000</v>
      </c>
      <c r="G26" s="35">
        <f t="shared" si="1"/>
        <v>0</v>
      </c>
      <c r="H26" s="34">
        <f t="shared" si="2"/>
        <v>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10" t="s">
        <v>242</v>
      </c>
      <c r="B27" s="32" t="s">
        <v>243</v>
      </c>
      <c r="C27" s="33">
        <v>1500000</v>
      </c>
      <c r="D27" s="32" t="s">
        <v>31</v>
      </c>
      <c r="E27" s="32" t="s">
        <v>9</v>
      </c>
      <c r="F27" s="34">
        <f t="shared" si="0"/>
        <v>1500000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10" t="s">
        <v>246</v>
      </c>
      <c r="B28" s="32" t="s">
        <v>247</v>
      </c>
      <c r="C28" s="33">
        <v>150000</v>
      </c>
      <c r="D28" s="32" t="s">
        <v>31</v>
      </c>
      <c r="E28" s="32" t="s">
        <v>9</v>
      </c>
      <c r="F28" s="34">
        <f t="shared" si="0"/>
        <v>150000</v>
      </c>
      <c r="G28" s="35">
        <f t="shared" si="1"/>
        <v>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10" t="s">
        <v>246</v>
      </c>
      <c r="B29" s="32" t="s">
        <v>248</v>
      </c>
      <c r="C29" s="33">
        <v>150000</v>
      </c>
      <c r="D29" s="32" t="s">
        <v>31</v>
      </c>
      <c r="E29" s="32" t="s">
        <v>9</v>
      </c>
      <c r="F29" s="34">
        <f t="shared" si="0"/>
        <v>150000</v>
      </c>
      <c r="G29" s="35">
        <f t="shared" si="1"/>
        <v>0</v>
      </c>
      <c r="H29" s="34">
        <f t="shared" si="2"/>
        <v>0</v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10" t="s">
        <v>246</v>
      </c>
      <c r="B30" s="32" t="s">
        <v>251</v>
      </c>
      <c r="C30" s="33">
        <v>200000</v>
      </c>
      <c r="D30" s="32" t="s">
        <v>31</v>
      </c>
      <c r="E30" s="32" t="s">
        <v>9</v>
      </c>
      <c r="F30" s="34">
        <f t="shared" si="0"/>
        <v>200000</v>
      </c>
      <c r="G30" s="35">
        <f t="shared" si="1"/>
        <v>0</v>
      </c>
      <c r="H30" s="34">
        <f t="shared" si="2"/>
        <v>0</v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10" t="s">
        <v>246</v>
      </c>
      <c r="B31" s="32" t="s">
        <v>252</v>
      </c>
      <c r="C31" s="33">
        <v>2500000</v>
      </c>
      <c r="D31" s="32" t="s">
        <v>31</v>
      </c>
      <c r="E31" s="32" t="s">
        <v>9</v>
      </c>
      <c r="F31" s="34">
        <f t="shared" si="0"/>
        <v>2500000</v>
      </c>
      <c r="G31" s="35">
        <f t="shared" si="1"/>
        <v>0</v>
      </c>
      <c r="H31" s="34">
        <f t="shared" si="2"/>
        <v>0</v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 t="s">
        <v>246</v>
      </c>
      <c r="B32" s="32" t="s">
        <v>253</v>
      </c>
      <c r="C32" s="33">
        <v>400000</v>
      </c>
      <c r="D32" s="32" t="s">
        <v>31</v>
      </c>
      <c r="E32" s="32" t="s">
        <v>9</v>
      </c>
      <c r="F32" s="34">
        <f t="shared" si="0"/>
        <v>400000</v>
      </c>
      <c r="G32" s="35">
        <f t="shared" si="1"/>
        <v>0</v>
      </c>
      <c r="H32" s="34">
        <f t="shared" si="2"/>
        <v>0</v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10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10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10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4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4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4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4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4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4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4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4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4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4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4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4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4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4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4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4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4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4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4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4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4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4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4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4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4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4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4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4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4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4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4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4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4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4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4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4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4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4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4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4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4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4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4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4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4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4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4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4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4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4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4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4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4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4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4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4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4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4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4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4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4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4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4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4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4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4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4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4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4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4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4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4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4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4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4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4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4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4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4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4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4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4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4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4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4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4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4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4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4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4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4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4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4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4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4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4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4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4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4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4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4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4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4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4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4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4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4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4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4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4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4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4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4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4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4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4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4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4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4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4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4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4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4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4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4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4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4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4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4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4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4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4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4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4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4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4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4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4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4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4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4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4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4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4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4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4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4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4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4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4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4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4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4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4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4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4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4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4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4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4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4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4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4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4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4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4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4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4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4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4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4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4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4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4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4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4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4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4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4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4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4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4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4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4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4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4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4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4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4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4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4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6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6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6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6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6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6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6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6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6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6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6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6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6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6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6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6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6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6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6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6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6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6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6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6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6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6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6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6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6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6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6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6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6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6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6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6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6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6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6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6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6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6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6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6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6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6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6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6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6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6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6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6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6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6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6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6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6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6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6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6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6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6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6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6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6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6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6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6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6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6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6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6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6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6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6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6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6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6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6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6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6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6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6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6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6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6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6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6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6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6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6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6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6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6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6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6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6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6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6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6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6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6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6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6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6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6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6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6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6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6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6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6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6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6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6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6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6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6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6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6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6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6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6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6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6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6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6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6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6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6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6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6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6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6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6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6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6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6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6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6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6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6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6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6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6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6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6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6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6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6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6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6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6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6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6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6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6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6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6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6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6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6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6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6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6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6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6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6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6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6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6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6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6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6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6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6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6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6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6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6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6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6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6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6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6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6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6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6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6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6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6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6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6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6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6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6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6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6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6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6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6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6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6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6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6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6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6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6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6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6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6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6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6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6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6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6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6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6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6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6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6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6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6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6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6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6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6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6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6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6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6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6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6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6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6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6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6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6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6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6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6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6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6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6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6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6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6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6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6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6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6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6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6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6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6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6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6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6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6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6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6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6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6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6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6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6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6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6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6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6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6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6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6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6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6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6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6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6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6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6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6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6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6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6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6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6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6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6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6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6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6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6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6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6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6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6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6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6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6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6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6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6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6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6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6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6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6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6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6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6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6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6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6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6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6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6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6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6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6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6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6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6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6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6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6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6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6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6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6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6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6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6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6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6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6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6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6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6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6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6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6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6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6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6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6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6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6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6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6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6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6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6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6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6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6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6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6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6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6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6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6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6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6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6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6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6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6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6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6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6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6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6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6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6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6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6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6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6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6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6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6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6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6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6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6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6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6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6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6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6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6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6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6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6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6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6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6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6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6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6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6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6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6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6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6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6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6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6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6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6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6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6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6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6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6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6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6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6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6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6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6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6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6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6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6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6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6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6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6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6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6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6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6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6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6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6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6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6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6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6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6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6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6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6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6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6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6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6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6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6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6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6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6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6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6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6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6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6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6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6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6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6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6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6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6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6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6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6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6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6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6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6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6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6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6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6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6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6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6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6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6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6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6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6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6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6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6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6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6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6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6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6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6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6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6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6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6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6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6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6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6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6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6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6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6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6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6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6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6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6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6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6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6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6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6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6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6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6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6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6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6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6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6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6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6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6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6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6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6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6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6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6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6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6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6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6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6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6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6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6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6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6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6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6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6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6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6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6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6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6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6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6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6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6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6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6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6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6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6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6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6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6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6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6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6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6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6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6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6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6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6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6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6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6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6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6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6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6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6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6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6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6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6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6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6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6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6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6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6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6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6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6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6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6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6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6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6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6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6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6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6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6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6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6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6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6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6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6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6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6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6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6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6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6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6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6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6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6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6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6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6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6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6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6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6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6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6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6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6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6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6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6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6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6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6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6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6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6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6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6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6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6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6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6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6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6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6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6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6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6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6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6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6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6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6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6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6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6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6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6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6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6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6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6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6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6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6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6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6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6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6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6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6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6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6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6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6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6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6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6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6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6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6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6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6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6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6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6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6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6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6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6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6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6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6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6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6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6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6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6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6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6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6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6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6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6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6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6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6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6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6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6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6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6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6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6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6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6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6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6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6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6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6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6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6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6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6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6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6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6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6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6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6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6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6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6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6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6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6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6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6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6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6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6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6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6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6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6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6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6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6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6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6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6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6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6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6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6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6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6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6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6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3" priority="1" operator="equal">
      <formula>"پرداخت"</formula>
    </cfRule>
  </conditionalFormatting>
  <conditionalFormatting sqref="D1:D1000">
    <cfRule type="cellIs" dxfId="1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400-000000000000}">
      <formula1>"داود,محمد,امید"</formula1>
    </dataValidation>
    <dataValidation type="list" allowBlank="1" sqref="D3:D35" xr:uid="{00000000-0002-0000-04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Z1000"/>
  <sheetViews>
    <sheetView workbookViewId="0">
      <selection activeCell="D28" sqref="D28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213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31" t="s">
        <v>216</v>
      </c>
      <c r="B3" s="32" t="s">
        <v>218</v>
      </c>
      <c r="C3" s="33">
        <v>20000000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-20000000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31" t="s">
        <v>216</v>
      </c>
      <c r="B4" s="32" t="s">
        <v>231</v>
      </c>
      <c r="C4" s="33">
        <v>20000000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-20000000</v>
      </c>
      <c r="H4" s="34">
        <f t="shared" si="2"/>
        <v>0</v>
      </c>
      <c r="I4" s="36" t="s">
        <v>9</v>
      </c>
      <c r="J4" s="37">
        <f>Sheet5!J4+Sheet5!J8</f>
        <v>496437084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31" t="s">
        <v>216</v>
      </c>
      <c r="B5" s="32" t="s">
        <v>236</v>
      </c>
      <c r="C5" s="33">
        <v>20000000</v>
      </c>
      <c r="D5" s="32" t="s">
        <v>19</v>
      </c>
      <c r="E5" s="32" t="s">
        <v>9</v>
      </c>
      <c r="F5" s="34">
        <f t="shared" si="0"/>
        <v>-20000000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Sheet5!J5+Sheet5!J9</f>
        <v>1041486350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31" t="s">
        <v>216</v>
      </c>
      <c r="B6" s="32" t="s">
        <v>239</v>
      </c>
      <c r="C6" s="33">
        <v>3690000</v>
      </c>
      <c r="D6" s="32" t="s">
        <v>31</v>
      </c>
      <c r="E6" s="32" t="s">
        <v>9</v>
      </c>
      <c r="F6" s="34">
        <f t="shared" si="0"/>
        <v>3690000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Sheet5!J6+Sheet5!J10</f>
        <v>1004047400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38" t="s">
        <v>244</v>
      </c>
      <c r="B7" s="32" t="s">
        <v>245</v>
      </c>
      <c r="C7" s="33">
        <v>50000000</v>
      </c>
      <c r="D7" s="32" t="s">
        <v>19</v>
      </c>
      <c r="E7" s="32" t="s">
        <v>9</v>
      </c>
      <c r="F7" s="34">
        <f t="shared" si="0"/>
        <v>-50000000</v>
      </c>
      <c r="G7" s="35">
        <f t="shared" si="1"/>
        <v>0</v>
      </c>
      <c r="H7" s="34">
        <f t="shared" si="2"/>
        <v>0</v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31" t="s">
        <v>249</v>
      </c>
      <c r="B8" s="32" t="s">
        <v>250</v>
      </c>
      <c r="C8" s="33">
        <f>3000300/2</f>
        <v>1500150</v>
      </c>
      <c r="D8" s="32" t="s">
        <v>19</v>
      </c>
      <c r="E8" s="32" t="s">
        <v>9</v>
      </c>
      <c r="F8" s="34">
        <f t="shared" si="0"/>
        <v>-1500150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-273571650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31" t="s">
        <v>249</v>
      </c>
      <c r="B9" s="32" t="s">
        <v>254</v>
      </c>
      <c r="C9" s="33">
        <f>C8</f>
        <v>1500150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-1500150</v>
      </c>
      <c r="H9" s="34">
        <f t="shared" si="2"/>
        <v>0</v>
      </c>
      <c r="I9" s="39" t="s">
        <v>27</v>
      </c>
      <c r="J9" s="40">
        <f>SUM(G3:G501)</f>
        <v>-42221650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31" t="s">
        <v>255</v>
      </c>
      <c r="B10" s="32" t="s">
        <v>256</v>
      </c>
      <c r="C10" s="33">
        <v>56100</v>
      </c>
      <c r="D10" s="32" t="s">
        <v>31</v>
      </c>
      <c r="E10" s="32" t="s">
        <v>11</v>
      </c>
      <c r="F10" s="34">
        <f t="shared" si="0"/>
        <v>0</v>
      </c>
      <c r="G10" s="35">
        <f t="shared" si="1"/>
        <v>0</v>
      </c>
      <c r="H10" s="34">
        <f t="shared" si="2"/>
        <v>56100</v>
      </c>
      <c r="I10" s="39" t="s">
        <v>32</v>
      </c>
      <c r="J10" s="40">
        <f>SUM(H3:H501)</f>
        <v>-58901900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31" t="s">
        <v>257</v>
      </c>
      <c r="B11" s="32" t="s">
        <v>258</v>
      </c>
      <c r="C11" s="33">
        <f>40300000/2</f>
        <v>20150000</v>
      </c>
      <c r="D11" s="32" t="s">
        <v>19</v>
      </c>
      <c r="E11" s="32" t="s">
        <v>9</v>
      </c>
      <c r="F11" s="34">
        <f t="shared" si="0"/>
        <v>-20150000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31" t="s">
        <v>257</v>
      </c>
      <c r="B12" s="32" t="s">
        <v>259</v>
      </c>
      <c r="C12" s="33">
        <f>C11</f>
        <v>20150000</v>
      </c>
      <c r="D12" s="32" t="s">
        <v>19</v>
      </c>
      <c r="E12" s="32" t="s">
        <v>10</v>
      </c>
      <c r="F12" s="34">
        <f t="shared" si="0"/>
        <v>0</v>
      </c>
      <c r="G12" s="35">
        <f t="shared" si="1"/>
        <v>-20150000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31" t="s">
        <v>260</v>
      </c>
      <c r="B13" s="32" t="s">
        <v>261</v>
      </c>
      <c r="C13" s="33">
        <v>281500</v>
      </c>
      <c r="D13" s="32" t="s">
        <v>19</v>
      </c>
      <c r="E13" s="32" t="s">
        <v>9</v>
      </c>
      <c r="F13" s="34">
        <f t="shared" si="0"/>
        <v>-281500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31" t="s">
        <v>260</v>
      </c>
      <c r="B14" s="32" t="s">
        <v>263</v>
      </c>
      <c r="C14" s="33">
        <f>C13</f>
        <v>281500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-281500</v>
      </c>
      <c r="H14" s="34">
        <f t="shared" si="2"/>
        <v>0</v>
      </c>
      <c r="I14" s="41" t="s">
        <v>57</v>
      </c>
      <c r="J14" s="42">
        <f>(J9+J5)- MIN(J8+J4,J9+J5,J10+J6)</f>
        <v>776399266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31" t="s">
        <v>264</v>
      </c>
      <c r="B15" s="32" t="s">
        <v>265</v>
      </c>
      <c r="C15" s="33">
        <f>525000+43000</f>
        <v>568000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568000</v>
      </c>
      <c r="I15" s="41" t="s">
        <v>63</v>
      </c>
      <c r="J15" s="42">
        <f>(J10+J6)- MIN(J8+J4,J9+J5,J10+J6)</f>
        <v>722280066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31" t="s">
        <v>266</v>
      </c>
      <c r="B16" s="32" t="s">
        <v>267</v>
      </c>
      <c r="C16" s="33">
        <v>400000</v>
      </c>
      <c r="D16" s="32" t="s">
        <v>31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400000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31" t="s">
        <v>268</v>
      </c>
      <c r="B17" s="32" t="s">
        <v>269</v>
      </c>
      <c r="C17" s="33">
        <v>40000</v>
      </c>
      <c r="D17" s="32" t="s">
        <v>31</v>
      </c>
      <c r="E17" s="32" t="s">
        <v>10</v>
      </c>
      <c r="F17" s="34">
        <f t="shared" si="0"/>
        <v>0</v>
      </c>
      <c r="G17" s="35">
        <f t="shared" si="1"/>
        <v>40000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31" t="s">
        <v>270</v>
      </c>
      <c r="B18" s="32" t="s">
        <v>271</v>
      </c>
      <c r="C18" s="33">
        <v>74000</v>
      </c>
      <c r="D18" s="32" t="s">
        <v>31</v>
      </c>
      <c r="E18" s="32" t="s">
        <v>11</v>
      </c>
      <c r="F18" s="34">
        <f t="shared" si="0"/>
        <v>0</v>
      </c>
      <c r="G18" s="35">
        <f t="shared" si="1"/>
        <v>0</v>
      </c>
      <c r="H18" s="34">
        <f t="shared" si="2"/>
        <v>74000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31" t="s">
        <v>275</v>
      </c>
      <c r="B19" s="32" t="s">
        <v>277</v>
      </c>
      <c r="C19" s="33">
        <v>10000000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-10000000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43" t="s">
        <v>275</v>
      </c>
      <c r="B20" s="32" t="s">
        <v>276</v>
      </c>
      <c r="C20" s="33">
        <v>10000000</v>
      </c>
      <c r="D20" s="32" t="s">
        <v>19</v>
      </c>
      <c r="E20" s="32" t="s">
        <v>11</v>
      </c>
      <c r="F20" s="34">
        <f t="shared" si="0"/>
        <v>0</v>
      </c>
      <c r="G20" s="35">
        <f t="shared" si="1"/>
        <v>0</v>
      </c>
      <c r="H20" s="34">
        <f t="shared" si="2"/>
        <v>-10000000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43" t="s">
        <v>275</v>
      </c>
      <c r="B21" s="32" t="s">
        <v>278</v>
      </c>
      <c r="C21" s="33">
        <v>10000000</v>
      </c>
      <c r="D21" s="32" t="s">
        <v>19</v>
      </c>
      <c r="E21" s="32" t="s">
        <v>11</v>
      </c>
      <c r="F21" s="34">
        <f t="shared" si="0"/>
        <v>0</v>
      </c>
      <c r="G21" s="35">
        <f t="shared" si="1"/>
        <v>0</v>
      </c>
      <c r="H21" s="34">
        <f t="shared" si="2"/>
        <v>-10000000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43" t="s">
        <v>275</v>
      </c>
      <c r="B22" s="32" t="s">
        <v>279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43" t="s">
        <v>282</v>
      </c>
      <c r="B23" s="44" t="s">
        <v>283</v>
      </c>
      <c r="C23" s="33">
        <f>660000/2</f>
        <v>330000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-330000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31" t="s">
        <v>282</v>
      </c>
      <c r="B24" s="32" t="s">
        <v>284</v>
      </c>
      <c r="C24" s="33">
        <f>660000/2</f>
        <v>330000</v>
      </c>
      <c r="D24" s="32" t="s">
        <v>19</v>
      </c>
      <c r="E24" s="32" t="s">
        <v>9</v>
      </c>
      <c r="F24" s="34">
        <f t="shared" si="0"/>
        <v>-330000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31" t="s">
        <v>282</v>
      </c>
      <c r="B25" s="32" t="s">
        <v>288</v>
      </c>
      <c r="C25" s="33">
        <v>185000000</v>
      </c>
      <c r="D25" s="32" t="s">
        <v>19</v>
      </c>
      <c r="E25" s="32" t="s">
        <v>9</v>
      </c>
      <c r="F25" s="34">
        <f t="shared" si="0"/>
        <v>-185000000</v>
      </c>
      <c r="G25" s="35">
        <f t="shared" si="1"/>
        <v>0</v>
      </c>
      <c r="H25" s="34">
        <f t="shared" si="2"/>
        <v>0</v>
      </c>
      <c r="I25" s="45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31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31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31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31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31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31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31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31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31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31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6"/>
      <c r="B36" s="2"/>
      <c r="C36" s="6"/>
      <c r="D36" s="7"/>
      <c r="E36" s="7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6"/>
      <c r="B37" s="2"/>
      <c r="C37" s="6"/>
      <c r="D37" s="7"/>
      <c r="E37" s="7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6"/>
      <c r="B38" s="2"/>
      <c r="C38" s="6"/>
      <c r="D38" s="7"/>
      <c r="E38" s="7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6"/>
      <c r="B39" s="2"/>
      <c r="C39" s="6"/>
      <c r="D39" s="7"/>
      <c r="E39" s="7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6"/>
      <c r="B40" s="2"/>
      <c r="C40" s="6"/>
      <c r="D40" s="7"/>
      <c r="E40" s="7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6"/>
      <c r="B41" s="2"/>
      <c r="C41" s="6"/>
      <c r="D41" s="7"/>
      <c r="E41" s="7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6"/>
      <c r="B42" s="2"/>
      <c r="C42" s="6"/>
      <c r="D42" s="7"/>
      <c r="E42" s="7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6"/>
      <c r="B43" s="2"/>
      <c r="C43" s="6"/>
      <c r="D43" s="7"/>
      <c r="E43" s="7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6"/>
      <c r="B44" s="2"/>
      <c r="C44" s="6"/>
      <c r="D44" s="7"/>
      <c r="E44" s="7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6"/>
      <c r="B45" s="2"/>
      <c r="C45" s="6"/>
      <c r="D45" s="7"/>
      <c r="E45" s="7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6"/>
      <c r="B46" s="2"/>
      <c r="C46" s="6"/>
      <c r="D46" s="7"/>
      <c r="E46" s="7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6"/>
      <c r="B47" s="2"/>
      <c r="C47" s="6"/>
      <c r="D47" s="7"/>
      <c r="E47" s="7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6"/>
      <c r="B48" s="2"/>
      <c r="C48" s="6"/>
      <c r="D48" s="7"/>
      <c r="E48" s="7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6"/>
      <c r="B49" s="2"/>
      <c r="C49" s="6"/>
      <c r="D49" s="7"/>
      <c r="E49" s="7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6"/>
      <c r="B50" s="2"/>
      <c r="C50" s="6"/>
      <c r="D50" s="7"/>
      <c r="E50" s="7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6"/>
      <c r="B51" s="2"/>
      <c r="C51" s="6"/>
      <c r="D51" s="7"/>
      <c r="E51" s="7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6"/>
      <c r="B52" s="2"/>
      <c r="C52" s="6"/>
      <c r="D52" s="7"/>
      <c r="E52" s="7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6"/>
      <c r="B53" s="2"/>
      <c r="C53" s="6"/>
      <c r="D53" s="7"/>
      <c r="E53" s="7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6"/>
      <c r="B54" s="2"/>
      <c r="C54" s="6"/>
      <c r="D54" s="7"/>
      <c r="E54" s="7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6"/>
      <c r="B55" s="2"/>
      <c r="C55" s="6"/>
      <c r="D55" s="7"/>
      <c r="E55" s="7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6"/>
      <c r="B56" s="2"/>
      <c r="C56" s="6"/>
      <c r="D56" s="7"/>
      <c r="E56" s="7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6"/>
      <c r="B57" s="2"/>
      <c r="C57" s="6"/>
      <c r="D57" s="7"/>
      <c r="E57" s="7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6"/>
      <c r="B58" s="2"/>
      <c r="C58" s="6"/>
      <c r="D58" s="7"/>
      <c r="E58" s="7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6"/>
      <c r="B59" s="2"/>
      <c r="C59" s="6"/>
      <c r="D59" s="7"/>
      <c r="E59" s="7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6"/>
      <c r="B60" s="2"/>
      <c r="C60" s="6"/>
      <c r="D60" s="7"/>
      <c r="E60" s="7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6"/>
      <c r="B61" s="2"/>
      <c r="C61" s="6"/>
      <c r="D61" s="7"/>
      <c r="E61" s="7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6"/>
      <c r="B62" s="2"/>
      <c r="C62" s="6"/>
      <c r="D62" s="7"/>
      <c r="E62" s="7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6"/>
      <c r="B63" s="2"/>
      <c r="C63" s="6"/>
      <c r="D63" s="7"/>
      <c r="E63" s="7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6"/>
      <c r="B64" s="2"/>
      <c r="C64" s="6"/>
      <c r="D64" s="7"/>
      <c r="E64" s="7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6"/>
      <c r="B65" s="2"/>
      <c r="C65" s="6"/>
      <c r="D65" s="7"/>
      <c r="E65" s="7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6"/>
      <c r="B66" s="2"/>
      <c r="C66" s="6"/>
      <c r="D66" s="7"/>
      <c r="E66" s="7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6"/>
      <c r="B67" s="2"/>
      <c r="C67" s="6"/>
      <c r="D67" s="7"/>
      <c r="E67" s="7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6"/>
      <c r="B68" s="2"/>
      <c r="C68" s="6"/>
      <c r="D68" s="7"/>
      <c r="E68" s="7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6"/>
      <c r="B69" s="2"/>
      <c r="C69" s="6"/>
      <c r="D69" s="7"/>
      <c r="E69" s="7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6"/>
      <c r="B70" s="2"/>
      <c r="C70" s="6"/>
      <c r="D70" s="7"/>
      <c r="E70" s="7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6"/>
      <c r="B71" s="2"/>
      <c r="C71" s="6"/>
      <c r="D71" s="7"/>
      <c r="E71" s="7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6"/>
      <c r="B72" s="2"/>
      <c r="C72" s="6"/>
      <c r="D72" s="7"/>
      <c r="E72" s="7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6"/>
      <c r="B73" s="2"/>
      <c r="C73" s="6"/>
      <c r="D73" s="7"/>
      <c r="E73" s="7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6"/>
      <c r="B74" s="2"/>
      <c r="C74" s="6"/>
      <c r="D74" s="7"/>
      <c r="E74" s="7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6"/>
      <c r="B75" s="2"/>
      <c r="C75" s="6"/>
      <c r="D75" s="7"/>
      <c r="E75" s="7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6"/>
      <c r="B76" s="2"/>
      <c r="C76" s="6"/>
      <c r="D76" s="7"/>
      <c r="E76" s="7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6"/>
      <c r="B77" s="2"/>
      <c r="C77" s="6"/>
      <c r="D77" s="7"/>
      <c r="E77" s="7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6"/>
      <c r="B78" s="2"/>
      <c r="C78" s="6"/>
      <c r="D78" s="7"/>
      <c r="E78" s="7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6"/>
      <c r="B79" s="2"/>
      <c r="C79" s="6"/>
      <c r="D79" s="7"/>
      <c r="E79" s="7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6"/>
      <c r="B80" s="2"/>
      <c r="C80" s="6"/>
      <c r="D80" s="7"/>
      <c r="E80" s="7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6"/>
      <c r="B81" s="2"/>
      <c r="C81" s="6"/>
      <c r="D81" s="7"/>
      <c r="E81" s="7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6"/>
      <c r="B82" s="2"/>
      <c r="C82" s="6"/>
      <c r="D82" s="7"/>
      <c r="E82" s="7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6"/>
      <c r="B83" s="2"/>
      <c r="C83" s="6"/>
      <c r="D83" s="7"/>
      <c r="E83" s="7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6"/>
      <c r="B84" s="2"/>
      <c r="C84" s="6"/>
      <c r="D84" s="7"/>
      <c r="E84" s="7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6"/>
      <c r="B85" s="2"/>
      <c r="C85" s="6"/>
      <c r="D85" s="7"/>
      <c r="E85" s="7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6"/>
      <c r="B86" s="2"/>
      <c r="C86" s="6"/>
      <c r="D86" s="7"/>
      <c r="E86" s="7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6"/>
      <c r="B87" s="2"/>
      <c r="C87" s="6"/>
      <c r="D87" s="7"/>
      <c r="E87" s="7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6"/>
      <c r="B88" s="2"/>
      <c r="C88" s="6"/>
      <c r="D88" s="7"/>
      <c r="E88" s="7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6"/>
      <c r="B89" s="2"/>
      <c r="C89" s="6"/>
      <c r="D89" s="7"/>
      <c r="E89" s="7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6"/>
      <c r="B90" s="2"/>
      <c r="C90" s="6"/>
      <c r="D90" s="7"/>
      <c r="E90" s="7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6"/>
      <c r="B91" s="2"/>
      <c r="C91" s="6"/>
      <c r="D91" s="7"/>
      <c r="E91" s="7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6"/>
      <c r="B92" s="2"/>
      <c r="C92" s="6"/>
      <c r="D92" s="7"/>
      <c r="E92" s="7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6"/>
      <c r="B93" s="2"/>
      <c r="C93" s="6"/>
      <c r="D93" s="7"/>
      <c r="E93" s="7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6"/>
      <c r="B94" s="2"/>
      <c r="C94" s="6"/>
      <c r="D94" s="7"/>
      <c r="E94" s="7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6"/>
      <c r="B95" s="2"/>
      <c r="C95" s="6"/>
      <c r="D95" s="7"/>
      <c r="E95" s="7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6"/>
      <c r="B96" s="2"/>
      <c r="C96" s="6"/>
      <c r="D96" s="7"/>
      <c r="E96" s="7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6"/>
      <c r="B97" s="2"/>
      <c r="C97" s="6"/>
      <c r="D97" s="7"/>
      <c r="E97" s="7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6"/>
      <c r="B98" s="2"/>
      <c r="C98" s="6"/>
      <c r="D98" s="7"/>
      <c r="E98" s="7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6"/>
      <c r="B99" s="2"/>
      <c r="C99" s="6"/>
      <c r="D99" s="7"/>
      <c r="E99" s="7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6"/>
      <c r="B100" s="2"/>
      <c r="C100" s="6"/>
      <c r="D100" s="7"/>
      <c r="E100" s="7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6"/>
      <c r="B101" s="2"/>
      <c r="C101" s="6"/>
      <c r="D101" s="7"/>
      <c r="E101" s="7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6"/>
      <c r="B102" s="2"/>
      <c r="C102" s="6"/>
      <c r="D102" s="7"/>
      <c r="E102" s="7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6"/>
      <c r="B103" s="2"/>
      <c r="C103" s="6"/>
      <c r="D103" s="7"/>
      <c r="E103" s="7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6"/>
      <c r="B104" s="2"/>
      <c r="C104" s="6"/>
      <c r="D104" s="7"/>
      <c r="E104" s="7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6"/>
      <c r="B105" s="2"/>
      <c r="C105" s="6"/>
      <c r="D105" s="7"/>
      <c r="E105" s="7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6"/>
      <c r="B106" s="2"/>
      <c r="C106" s="6"/>
      <c r="D106" s="7"/>
      <c r="E106" s="7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6"/>
      <c r="B107" s="2"/>
      <c r="C107" s="6"/>
      <c r="D107" s="7"/>
      <c r="E107" s="7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6"/>
      <c r="B108" s="2"/>
      <c r="C108" s="6"/>
      <c r="D108" s="7"/>
      <c r="E108" s="7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6"/>
      <c r="B109" s="2"/>
      <c r="C109" s="6"/>
      <c r="D109" s="7"/>
      <c r="E109" s="7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6"/>
      <c r="B110" s="2"/>
      <c r="C110" s="6"/>
      <c r="D110" s="7"/>
      <c r="E110" s="7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6"/>
      <c r="B111" s="2"/>
      <c r="C111" s="6"/>
      <c r="D111" s="7"/>
      <c r="E111" s="7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6"/>
      <c r="B112" s="2"/>
      <c r="C112" s="6"/>
      <c r="D112" s="7"/>
      <c r="E112" s="7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6"/>
      <c r="B113" s="2"/>
      <c r="C113" s="6"/>
      <c r="D113" s="7"/>
      <c r="E113" s="7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6"/>
      <c r="B114" s="2"/>
      <c r="C114" s="6"/>
      <c r="D114" s="7"/>
      <c r="E114" s="7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6"/>
      <c r="B115" s="2"/>
      <c r="C115" s="6"/>
      <c r="D115" s="7"/>
      <c r="E115" s="7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6"/>
      <c r="B116" s="2"/>
      <c r="C116" s="6"/>
      <c r="D116" s="7"/>
      <c r="E116" s="7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6"/>
      <c r="B117" s="2"/>
      <c r="C117" s="6"/>
      <c r="D117" s="7"/>
      <c r="E117" s="7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6"/>
      <c r="B118" s="2"/>
      <c r="C118" s="6"/>
      <c r="D118" s="7"/>
      <c r="E118" s="7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6"/>
      <c r="B119" s="2"/>
      <c r="C119" s="6"/>
      <c r="D119" s="7"/>
      <c r="E119" s="7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6"/>
      <c r="B120" s="2"/>
      <c r="C120" s="6"/>
      <c r="D120" s="7"/>
      <c r="E120" s="7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6"/>
      <c r="B121" s="2"/>
      <c r="C121" s="6"/>
      <c r="D121" s="7"/>
      <c r="E121" s="7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6"/>
      <c r="B122" s="2"/>
      <c r="C122" s="6"/>
      <c r="D122" s="7"/>
      <c r="E122" s="7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6"/>
      <c r="B123" s="2"/>
      <c r="C123" s="6"/>
      <c r="D123" s="7"/>
      <c r="E123" s="7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6"/>
      <c r="B124" s="2"/>
      <c r="C124" s="6"/>
      <c r="D124" s="7"/>
      <c r="E124" s="7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6"/>
      <c r="B125" s="2"/>
      <c r="C125" s="6"/>
      <c r="D125" s="7"/>
      <c r="E125" s="7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6"/>
      <c r="B126" s="2"/>
      <c r="C126" s="6"/>
      <c r="D126" s="7"/>
      <c r="E126" s="7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6"/>
      <c r="B127" s="2"/>
      <c r="C127" s="6"/>
      <c r="D127" s="7"/>
      <c r="E127" s="7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6"/>
      <c r="B128" s="2"/>
      <c r="C128" s="6"/>
      <c r="D128" s="7"/>
      <c r="E128" s="7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6"/>
      <c r="B129" s="2"/>
      <c r="C129" s="6"/>
      <c r="D129" s="7"/>
      <c r="E129" s="7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6"/>
      <c r="B130" s="2"/>
      <c r="C130" s="6"/>
      <c r="D130" s="7"/>
      <c r="E130" s="7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6"/>
      <c r="B131" s="2"/>
      <c r="C131" s="6"/>
      <c r="D131" s="7"/>
      <c r="E131" s="7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6"/>
      <c r="B132" s="2"/>
      <c r="C132" s="6"/>
      <c r="D132" s="7"/>
      <c r="E132" s="7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6"/>
      <c r="B133" s="2"/>
      <c r="C133" s="6"/>
      <c r="D133" s="7"/>
      <c r="E133" s="7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6"/>
      <c r="B134" s="2"/>
      <c r="C134" s="6"/>
      <c r="D134" s="7"/>
      <c r="E134" s="7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6"/>
      <c r="B135" s="2"/>
      <c r="C135" s="6"/>
      <c r="D135" s="7"/>
      <c r="E135" s="7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6"/>
      <c r="B136" s="2"/>
      <c r="C136" s="6"/>
      <c r="D136" s="7"/>
      <c r="E136" s="7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6"/>
      <c r="B137" s="2"/>
      <c r="C137" s="6"/>
      <c r="D137" s="7"/>
      <c r="E137" s="7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6"/>
      <c r="B138" s="2"/>
      <c r="C138" s="6"/>
      <c r="D138" s="7"/>
      <c r="E138" s="7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6"/>
      <c r="B139" s="2"/>
      <c r="C139" s="6"/>
      <c r="D139" s="7"/>
      <c r="E139" s="7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6"/>
      <c r="B140" s="2"/>
      <c r="C140" s="6"/>
      <c r="D140" s="7"/>
      <c r="E140" s="7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6"/>
      <c r="B141" s="2"/>
      <c r="C141" s="6"/>
      <c r="D141" s="7"/>
      <c r="E141" s="7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6"/>
      <c r="B142" s="2"/>
      <c r="C142" s="6"/>
      <c r="D142" s="7"/>
      <c r="E142" s="7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6"/>
      <c r="B143" s="2"/>
      <c r="C143" s="6"/>
      <c r="D143" s="7"/>
      <c r="E143" s="7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6"/>
      <c r="B144" s="2"/>
      <c r="C144" s="6"/>
      <c r="D144" s="7"/>
      <c r="E144" s="7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6"/>
      <c r="B145" s="2"/>
      <c r="C145" s="6"/>
      <c r="D145" s="7"/>
      <c r="E145" s="7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6"/>
      <c r="B146" s="2"/>
      <c r="C146" s="6"/>
      <c r="D146" s="7"/>
      <c r="E146" s="7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6"/>
      <c r="B147" s="2"/>
      <c r="C147" s="6"/>
      <c r="D147" s="7"/>
      <c r="E147" s="7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6"/>
      <c r="B148" s="2"/>
      <c r="C148" s="6"/>
      <c r="D148" s="7"/>
      <c r="E148" s="7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6"/>
      <c r="B149" s="2"/>
      <c r="C149" s="6"/>
      <c r="D149" s="7"/>
      <c r="E149" s="7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6"/>
      <c r="B150" s="2"/>
      <c r="C150" s="6"/>
      <c r="D150" s="7"/>
      <c r="E150" s="7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6"/>
      <c r="B151" s="2"/>
      <c r="C151" s="6"/>
      <c r="D151" s="7"/>
      <c r="E151" s="7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6"/>
      <c r="B152" s="2"/>
      <c r="C152" s="6"/>
      <c r="D152" s="7"/>
      <c r="E152" s="7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6"/>
      <c r="B153" s="2"/>
      <c r="C153" s="6"/>
      <c r="D153" s="7"/>
      <c r="E153" s="7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6"/>
      <c r="B154" s="2"/>
      <c r="C154" s="6"/>
      <c r="D154" s="7"/>
      <c r="E154" s="7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6"/>
      <c r="B155" s="2"/>
      <c r="C155" s="6"/>
      <c r="D155" s="7"/>
      <c r="E155" s="7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6"/>
      <c r="B156" s="2"/>
      <c r="C156" s="6"/>
      <c r="D156" s="7"/>
      <c r="E156" s="7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6"/>
      <c r="B157" s="2"/>
      <c r="C157" s="6"/>
      <c r="D157" s="7"/>
      <c r="E157" s="7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6"/>
      <c r="B158" s="2"/>
      <c r="C158" s="6"/>
      <c r="D158" s="7"/>
      <c r="E158" s="7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6"/>
      <c r="B159" s="2"/>
      <c r="C159" s="6"/>
      <c r="D159" s="7"/>
      <c r="E159" s="7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6"/>
      <c r="B160" s="2"/>
      <c r="C160" s="6"/>
      <c r="D160" s="7"/>
      <c r="E160" s="7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6"/>
      <c r="B161" s="2"/>
      <c r="C161" s="6"/>
      <c r="D161" s="7"/>
      <c r="E161" s="7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6"/>
      <c r="B162" s="2"/>
      <c r="C162" s="6"/>
      <c r="D162" s="7"/>
      <c r="E162" s="7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6"/>
      <c r="B163" s="2"/>
      <c r="C163" s="6"/>
      <c r="D163" s="7"/>
      <c r="E163" s="7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6"/>
      <c r="B164" s="2"/>
      <c r="C164" s="6"/>
      <c r="D164" s="7"/>
      <c r="E164" s="7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6"/>
      <c r="B165" s="2"/>
      <c r="C165" s="6"/>
      <c r="D165" s="7"/>
      <c r="E165" s="7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6"/>
      <c r="B166" s="2"/>
      <c r="C166" s="6"/>
      <c r="D166" s="7"/>
      <c r="E166" s="7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6"/>
      <c r="B167" s="2"/>
      <c r="C167" s="6"/>
      <c r="D167" s="7"/>
      <c r="E167" s="7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6"/>
      <c r="B168" s="2"/>
      <c r="C168" s="6"/>
      <c r="D168" s="7"/>
      <c r="E168" s="7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6"/>
      <c r="B169" s="2"/>
      <c r="C169" s="6"/>
      <c r="D169" s="7"/>
      <c r="E169" s="7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6"/>
      <c r="B170" s="2"/>
      <c r="C170" s="6"/>
      <c r="D170" s="7"/>
      <c r="E170" s="7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6"/>
      <c r="B171" s="2"/>
      <c r="C171" s="6"/>
      <c r="D171" s="7"/>
      <c r="E171" s="7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6"/>
      <c r="B172" s="2"/>
      <c r="C172" s="6"/>
      <c r="D172" s="7"/>
      <c r="E172" s="7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6"/>
      <c r="B173" s="2"/>
      <c r="C173" s="6"/>
      <c r="D173" s="7"/>
      <c r="E173" s="7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6"/>
      <c r="B174" s="2"/>
      <c r="C174" s="6"/>
      <c r="D174" s="7"/>
      <c r="E174" s="7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6"/>
      <c r="B175" s="2"/>
      <c r="C175" s="6"/>
      <c r="D175" s="7"/>
      <c r="E175" s="7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6"/>
      <c r="B176" s="2"/>
      <c r="C176" s="6"/>
      <c r="D176" s="7"/>
      <c r="E176" s="7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6"/>
      <c r="B177" s="2"/>
      <c r="C177" s="6"/>
      <c r="D177" s="7"/>
      <c r="E177" s="7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6"/>
      <c r="B178" s="2"/>
      <c r="C178" s="6"/>
      <c r="D178" s="7"/>
      <c r="E178" s="7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6"/>
      <c r="B179" s="2"/>
      <c r="C179" s="6"/>
      <c r="D179" s="7"/>
      <c r="E179" s="7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6"/>
      <c r="B180" s="2"/>
      <c r="C180" s="6"/>
      <c r="D180" s="7"/>
      <c r="E180" s="7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6"/>
      <c r="B181" s="2"/>
      <c r="C181" s="6"/>
      <c r="D181" s="7"/>
      <c r="E181" s="7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6"/>
      <c r="B182" s="2"/>
      <c r="C182" s="6"/>
      <c r="D182" s="7"/>
      <c r="E182" s="7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6"/>
      <c r="B183" s="2"/>
      <c r="C183" s="6"/>
      <c r="D183" s="7"/>
      <c r="E183" s="7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6"/>
      <c r="B184" s="2"/>
      <c r="C184" s="6"/>
      <c r="D184" s="7"/>
      <c r="E184" s="7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6"/>
      <c r="B185" s="2"/>
      <c r="C185" s="6"/>
      <c r="D185" s="7"/>
      <c r="E185" s="7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6"/>
      <c r="B186" s="2"/>
      <c r="C186" s="6"/>
      <c r="D186" s="7"/>
      <c r="E186" s="7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6"/>
      <c r="B187" s="2"/>
      <c r="C187" s="6"/>
      <c r="D187" s="7"/>
      <c r="E187" s="7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6"/>
      <c r="B188" s="2"/>
      <c r="C188" s="6"/>
      <c r="D188" s="7"/>
      <c r="E188" s="7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6"/>
      <c r="B189" s="2"/>
      <c r="C189" s="6"/>
      <c r="D189" s="7"/>
      <c r="E189" s="7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6"/>
      <c r="B190" s="2"/>
      <c r="C190" s="6"/>
      <c r="D190" s="7"/>
      <c r="E190" s="7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6"/>
      <c r="B191" s="2"/>
      <c r="C191" s="6"/>
      <c r="D191" s="7"/>
      <c r="E191" s="7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6"/>
      <c r="B192" s="2"/>
      <c r="C192" s="6"/>
      <c r="D192" s="7"/>
      <c r="E192" s="7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6"/>
      <c r="B193" s="2"/>
      <c r="C193" s="6"/>
      <c r="D193" s="7"/>
      <c r="E193" s="7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6"/>
      <c r="B194" s="2"/>
      <c r="C194" s="6"/>
      <c r="D194" s="7"/>
      <c r="E194" s="7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6"/>
      <c r="B195" s="2"/>
      <c r="C195" s="6"/>
      <c r="D195" s="7"/>
      <c r="E195" s="7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6"/>
      <c r="B196" s="2"/>
      <c r="C196" s="6"/>
      <c r="D196" s="7"/>
      <c r="E196" s="7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6"/>
      <c r="B197" s="2"/>
      <c r="C197" s="6"/>
      <c r="D197" s="7"/>
      <c r="E197" s="7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6"/>
      <c r="B198" s="2"/>
      <c r="C198" s="6"/>
      <c r="D198" s="7"/>
      <c r="E198" s="7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6"/>
      <c r="B199" s="2"/>
      <c r="C199" s="6"/>
      <c r="D199" s="7"/>
      <c r="E199" s="7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6"/>
      <c r="B200" s="2"/>
      <c r="C200" s="6"/>
      <c r="D200" s="7"/>
      <c r="E200" s="7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6"/>
      <c r="B201" s="2"/>
      <c r="C201" s="6"/>
      <c r="D201" s="7"/>
      <c r="E201" s="7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6"/>
      <c r="B202" s="2"/>
      <c r="C202" s="6"/>
      <c r="D202" s="7"/>
      <c r="E202" s="7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6"/>
      <c r="B203" s="2"/>
      <c r="C203" s="6"/>
      <c r="D203" s="7"/>
      <c r="E203" s="7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6"/>
      <c r="B204" s="2"/>
      <c r="C204" s="6"/>
      <c r="D204" s="7"/>
      <c r="E204" s="7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6"/>
      <c r="B205" s="2"/>
      <c r="C205" s="6"/>
      <c r="D205" s="7"/>
      <c r="E205" s="7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6"/>
      <c r="B206" s="2"/>
      <c r="C206" s="6"/>
      <c r="D206" s="7"/>
      <c r="E206" s="7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6"/>
      <c r="B207" s="2"/>
      <c r="C207" s="6"/>
      <c r="D207" s="7"/>
      <c r="E207" s="7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6"/>
      <c r="B208" s="2"/>
      <c r="C208" s="6"/>
      <c r="D208" s="7"/>
      <c r="E208" s="7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6"/>
      <c r="B209" s="2"/>
      <c r="C209" s="6"/>
      <c r="D209" s="7"/>
      <c r="E209" s="7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6"/>
      <c r="B210" s="2"/>
      <c r="C210" s="6"/>
      <c r="D210" s="7"/>
      <c r="E210" s="7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6"/>
      <c r="B211" s="2"/>
      <c r="C211" s="6"/>
      <c r="D211" s="7"/>
      <c r="E211" s="7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6"/>
      <c r="B212" s="2"/>
      <c r="C212" s="6"/>
      <c r="D212" s="7"/>
      <c r="E212" s="7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6"/>
      <c r="B213" s="2"/>
      <c r="C213" s="6"/>
      <c r="D213" s="7"/>
      <c r="E213" s="7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6"/>
      <c r="B214" s="2"/>
      <c r="C214" s="6"/>
      <c r="D214" s="7"/>
      <c r="E214" s="7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6"/>
      <c r="B215" s="2"/>
      <c r="C215" s="6"/>
      <c r="D215" s="7"/>
      <c r="E215" s="7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6"/>
      <c r="B216" s="2"/>
      <c r="C216" s="6"/>
      <c r="D216" s="7"/>
      <c r="E216" s="7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6"/>
      <c r="B217" s="2"/>
      <c r="C217" s="6"/>
      <c r="D217" s="7"/>
      <c r="E217" s="7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6"/>
      <c r="B218" s="2"/>
      <c r="C218" s="6"/>
      <c r="D218" s="7"/>
      <c r="E218" s="7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6"/>
      <c r="B219" s="2"/>
      <c r="C219" s="6"/>
      <c r="D219" s="7"/>
      <c r="E219" s="7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6"/>
      <c r="B220" s="2"/>
      <c r="C220" s="6"/>
      <c r="D220" s="7"/>
      <c r="E220" s="7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6"/>
      <c r="B221" s="2"/>
      <c r="C221" s="6"/>
      <c r="D221" s="7"/>
      <c r="E221" s="7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6"/>
      <c r="B222" s="2"/>
      <c r="C222" s="6"/>
      <c r="D222" s="7"/>
      <c r="E222" s="7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6"/>
      <c r="B223" s="2"/>
      <c r="C223" s="6"/>
      <c r="D223" s="7"/>
      <c r="E223" s="7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6"/>
      <c r="B224" s="2"/>
      <c r="C224" s="6"/>
      <c r="D224" s="7"/>
      <c r="E224" s="7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6"/>
      <c r="B225" s="2"/>
      <c r="C225" s="6"/>
      <c r="D225" s="7"/>
      <c r="E225" s="7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6"/>
      <c r="B226" s="2"/>
      <c r="C226" s="6"/>
      <c r="D226" s="7"/>
      <c r="E226" s="7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5"/>
      <c r="B227" s="13"/>
      <c r="C227" s="13"/>
      <c r="D227" s="13"/>
      <c r="E227" s="2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5"/>
      <c r="B228" s="13"/>
      <c r="C228" s="13"/>
      <c r="D228" s="13"/>
      <c r="E228" s="2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5"/>
      <c r="B229" s="13"/>
      <c r="C229" s="13"/>
      <c r="D229" s="13"/>
      <c r="E229" s="2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5"/>
      <c r="B230" s="13"/>
      <c r="C230" s="13"/>
      <c r="D230" s="13"/>
      <c r="E230" s="2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5"/>
      <c r="B231" s="13"/>
      <c r="C231" s="13"/>
      <c r="D231" s="13"/>
      <c r="E231" s="2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5"/>
      <c r="B232" s="13"/>
      <c r="C232" s="13"/>
      <c r="D232" s="13"/>
      <c r="E232" s="27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5"/>
      <c r="B233" s="13"/>
      <c r="C233" s="13"/>
      <c r="D233" s="13"/>
      <c r="E233" s="27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5"/>
      <c r="B234" s="13"/>
      <c r="C234" s="13"/>
      <c r="D234" s="13"/>
      <c r="E234" s="27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5"/>
      <c r="B235" s="13"/>
      <c r="C235" s="13"/>
      <c r="D235" s="13"/>
      <c r="E235" s="27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5"/>
      <c r="B236" s="13"/>
      <c r="C236" s="13"/>
      <c r="D236" s="13"/>
      <c r="E236" s="27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5"/>
      <c r="B237" s="13"/>
      <c r="C237" s="13"/>
      <c r="D237" s="13"/>
      <c r="E237" s="27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5"/>
      <c r="B238" s="13"/>
      <c r="C238" s="13"/>
      <c r="D238" s="13"/>
      <c r="E238" s="27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5"/>
      <c r="B239" s="13"/>
      <c r="C239" s="13"/>
      <c r="D239" s="13"/>
      <c r="E239" s="27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5"/>
      <c r="B240" s="13"/>
      <c r="C240" s="13"/>
      <c r="D240" s="13"/>
      <c r="E240" s="27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5"/>
      <c r="B241" s="13"/>
      <c r="C241" s="13"/>
      <c r="D241" s="13"/>
      <c r="E241" s="27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5"/>
      <c r="B242" s="13"/>
      <c r="C242" s="13"/>
      <c r="D242" s="13"/>
      <c r="E242" s="27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5"/>
      <c r="B243" s="13"/>
      <c r="C243" s="13"/>
      <c r="D243" s="13"/>
      <c r="E243" s="27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5"/>
      <c r="B244" s="13"/>
      <c r="C244" s="13"/>
      <c r="D244" s="13"/>
      <c r="E244" s="27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5"/>
      <c r="B245" s="13"/>
      <c r="C245" s="13"/>
      <c r="D245" s="13"/>
      <c r="E245" s="27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5"/>
      <c r="B246" s="13"/>
      <c r="C246" s="13"/>
      <c r="D246" s="13"/>
      <c r="E246" s="27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5"/>
      <c r="B247" s="13"/>
      <c r="C247" s="13"/>
      <c r="D247" s="13"/>
      <c r="E247" s="27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5"/>
      <c r="B248" s="13"/>
      <c r="C248" s="13"/>
      <c r="D248" s="13"/>
      <c r="E248" s="27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5"/>
      <c r="B249" s="13"/>
      <c r="C249" s="13"/>
      <c r="D249" s="13"/>
      <c r="E249" s="27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5"/>
      <c r="B250" s="13"/>
      <c r="C250" s="13"/>
      <c r="D250" s="13"/>
      <c r="E250" s="27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5"/>
      <c r="B251" s="13"/>
      <c r="C251" s="13"/>
      <c r="D251" s="13"/>
      <c r="E251" s="27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5"/>
      <c r="B252" s="13"/>
      <c r="C252" s="13"/>
      <c r="D252" s="13"/>
      <c r="E252" s="27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5"/>
      <c r="B253" s="13"/>
      <c r="C253" s="13"/>
      <c r="D253" s="13"/>
      <c r="E253" s="27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5"/>
      <c r="B254" s="13"/>
      <c r="C254" s="13"/>
      <c r="D254" s="13"/>
      <c r="E254" s="27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5"/>
      <c r="B255" s="13"/>
      <c r="C255" s="13"/>
      <c r="D255" s="13"/>
      <c r="E255" s="27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5"/>
      <c r="B256" s="13"/>
      <c r="C256" s="13"/>
      <c r="D256" s="13"/>
      <c r="E256" s="27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5"/>
      <c r="B257" s="13"/>
      <c r="C257" s="13"/>
      <c r="D257" s="13"/>
      <c r="E257" s="27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5"/>
      <c r="B258" s="13"/>
      <c r="C258" s="13"/>
      <c r="D258" s="13"/>
      <c r="E258" s="27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5"/>
      <c r="B259" s="13"/>
      <c r="C259" s="13"/>
      <c r="D259" s="13"/>
      <c r="E259" s="27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5"/>
      <c r="B260" s="13"/>
      <c r="C260" s="13"/>
      <c r="D260" s="13"/>
      <c r="E260" s="27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5"/>
      <c r="B261" s="13"/>
      <c r="C261" s="13"/>
      <c r="D261" s="13"/>
      <c r="E261" s="27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5"/>
      <c r="B262" s="13"/>
      <c r="C262" s="13"/>
      <c r="D262" s="13"/>
      <c r="E262" s="27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5"/>
      <c r="B263" s="13"/>
      <c r="C263" s="13"/>
      <c r="D263" s="13"/>
      <c r="E263" s="27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5"/>
      <c r="B264" s="13"/>
      <c r="C264" s="13"/>
      <c r="D264" s="13"/>
      <c r="E264" s="27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5"/>
      <c r="B265" s="13"/>
      <c r="C265" s="13"/>
      <c r="D265" s="13"/>
      <c r="E265" s="27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5"/>
      <c r="B266" s="13"/>
      <c r="C266" s="13"/>
      <c r="D266" s="13"/>
      <c r="E266" s="27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5"/>
      <c r="B267" s="13"/>
      <c r="C267" s="13"/>
      <c r="D267" s="13"/>
      <c r="E267" s="27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5"/>
      <c r="B268" s="13"/>
      <c r="C268" s="13"/>
      <c r="D268" s="13"/>
      <c r="E268" s="27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5"/>
      <c r="B269" s="13"/>
      <c r="C269" s="13"/>
      <c r="D269" s="13"/>
      <c r="E269" s="27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5"/>
      <c r="B270" s="13"/>
      <c r="C270" s="13"/>
      <c r="D270" s="13"/>
      <c r="E270" s="27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5"/>
      <c r="B271" s="13"/>
      <c r="C271" s="13"/>
      <c r="D271" s="13"/>
      <c r="E271" s="27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5"/>
      <c r="B272" s="13"/>
      <c r="C272" s="13"/>
      <c r="D272" s="13"/>
      <c r="E272" s="27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5"/>
      <c r="B273" s="13"/>
      <c r="C273" s="13"/>
      <c r="D273" s="13"/>
      <c r="E273" s="27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5"/>
      <c r="B274" s="13"/>
      <c r="C274" s="13"/>
      <c r="D274" s="13"/>
      <c r="E274" s="27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5"/>
      <c r="B275" s="13"/>
      <c r="C275" s="13"/>
      <c r="D275" s="13"/>
      <c r="E275" s="27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5"/>
      <c r="B276" s="13"/>
      <c r="C276" s="13"/>
      <c r="D276" s="13"/>
      <c r="E276" s="27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5"/>
      <c r="B277" s="13"/>
      <c r="C277" s="13"/>
      <c r="D277" s="13"/>
      <c r="E277" s="27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5"/>
      <c r="B278" s="13"/>
      <c r="C278" s="13"/>
      <c r="D278" s="13"/>
      <c r="E278" s="27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5"/>
      <c r="B279" s="13"/>
      <c r="C279" s="13"/>
      <c r="D279" s="13"/>
      <c r="E279" s="27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5"/>
      <c r="B280" s="13"/>
      <c r="C280" s="13"/>
      <c r="D280" s="13"/>
      <c r="E280" s="27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5"/>
      <c r="B281" s="13"/>
      <c r="C281" s="13"/>
      <c r="D281" s="13"/>
      <c r="E281" s="27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5"/>
      <c r="B282" s="13"/>
      <c r="C282" s="13"/>
      <c r="D282" s="13"/>
      <c r="E282" s="27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5"/>
      <c r="B283" s="13"/>
      <c r="C283" s="13"/>
      <c r="D283" s="13"/>
      <c r="E283" s="27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5"/>
      <c r="B284" s="13"/>
      <c r="C284" s="13"/>
      <c r="D284" s="13"/>
      <c r="E284" s="27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5"/>
      <c r="B285" s="13"/>
      <c r="C285" s="13"/>
      <c r="D285" s="13"/>
      <c r="E285" s="27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5"/>
      <c r="B286" s="13"/>
      <c r="C286" s="13"/>
      <c r="D286" s="13"/>
      <c r="E286" s="27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5"/>
      <c r="B287" s="13"/>
      <c r="C287" s="13"/>
      <c r="D287" s="13"/>
      <c r="E287" s="27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5"/>
      <c r="B288" s="13"/>
      <c r="C288" s="13"/>
      <c r="D288" s="13"/>
      <c r="E288" s="27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5"/>
      <c r="B289" s="13"/>
      <c r="C289" s="13"/>
      <c r="D289" s="13"/>
      <c r="E289" s="27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5"/>
      <c r="B290" s="13"/>
      <c r="C290" s="13"/>
      <c r="D290" s="13"/>
      <c r="E290" s="27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5"/>
      <c r="B291" s="13"/>
      <c r="C291" s="13"/>
      <c r="D291" s="13"/>
      <c r="E291" s="27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5"/>
      <c r="B292" s="13"/>
      <c r="C292" s="13"/>
      <c r="D292" s="13"/>
      <c r="E292" s="27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5"/>
      <c r="B293" s="13"/>
      <c r="C293" s="13"/>
      <c r="D293" s="13"/>
      <c r="E293" s="27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5"/>
      <c r="B294" s="13"/>
      <c r="C294" s="13"/>
      <c r="D294" s="13"/>
      <c r="E294" s="27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5"/>
      <c r="B295" s="13"/>
      <c r="C295" s="13"/>
      <c r="D295" s="13"/>
      <c r="E295" s="27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5"/>
      <c r="B296" s="13"/>
      <c r="C296" s="13"/>
      <c r="D296" s="13"/>
      <c r="E296" s="27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5"/>
      <c r="B297" s="13"/>
      <c r="C297" s="13"/>
      <c r="D297" s="13"/>
      <c r="E297" s="27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5"/>
      <c r="B298" s="13"/>
      <c r="C298" s="13"/>
      <c r="D298" s="13"/>
      <c r="E298" s="27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5"/>
      <c r="B299" s="13"/>
      <c r="C299" s="13"/>
      <c r="D299" s="13"/>
      <c r="E299" s="27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5"/>
      <c r="B300" s="13"/>
      <c r="C300" s="13"/>
      <c r="D300" s="13"/>
      <c r="E300" s="27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5"/>
      <c r="B301" s="13"/>
      <c r="C301" s="13"/>
      <c r="D301" s="13"/>
      <c r="E301" s="27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5"/>
      <c r="B302" s="13"/>
      <c r="C302" s="13"/>
      <c r="D302" s="13"/>
      <c r="E302" s="27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5"/>
      <c r="B303" s="13"/>
      <c r="C303" s="13"/>
      <c r="D303" s="13"/>
      <c r="E303" s="27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5"/>
      <c r="B304" s="13"/>
      <c r="C304" s="13"/>
      <c r="D304" s="13"/>
      <c r="E304" s="27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5"/>
      <c r="B305" s="13"/>
      <c r="C305" s="13"/>
      <c r="D305" s="13"/>
      <c r="E305" s="27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5"/>
      <c r="B306" s="13"/>
      <c r="C306" s="13"/>
      <c r="D306" s="13"/>
      <c r="E306" s="27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5"/>
      <c r="B307" s="13"/>
      <c r="C307" s="13"/>
      <c r="D307" s="13"/>
      <c r="E307" s="27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5"/>
      <c r="B308" s="13"/>
      <c r="C308" s="13"/>
      <c r="D308" s="13"/>
      <c r="E308" s="27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5"/>
      <c r="B309" s="13"/>
      <c r="C309" s="13"/>
      <c r="D309" s="13"/>
      <c r="E309" s="27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5"/>
      <c r="B310" s="13"/>
      <c r="C310" s="13"/>
      <c r="D310" s="13"/>
      <c r="E310" s="27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5"/>
      <c r="B311" s="13"/>
      <c r="C311" s="13"/>
      <c r="D311" s="13"/>
      <c r="E311" s="27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5"/>
      <c r="B312" s="13"/>
      <c r="C312" s="13"/>
      <c r="D312" s="13"/>
      <c r="E312" s="27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5"/>
      <c r="B313" s="13"/>
      <c r="C313" s="13"/>
      <c r="D313" s="13"/>
      <c r="E313" s="27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5"/>
      <c r="B314" s="13"/>
      <c r="C314" s="13"/>
      <c r="D314" s="13"/>
      <c r="E314" s="27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5"/>
      <c r="B315" s="13"/>
      <c r="C315" s="13"/>
      <c r="D315" s="13"/>
      <c r="E315" s="27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5"/>
      <c r="B316" s="13"/>
      <c r="C316" s="13"/>
      <c r="D316" s="13"/>
      <c r="E316" s="27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5"/>
      <c r="B317" s="13"/>
      <c r="C317" s="13"/>
      <c r="D317" s="13"/>
      <c r="E317" s="27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5"/>
      <c r="B318" s="13"/>
      <c r="C318" s="13"/>
      <c r="D318" s="13"/>
      <c r="E318" s="27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5"/>
      <c r="B319" s="13"/>
      <c r="C319" s="13"/>
      <c r="D319" s="13"/>
      <c r="E319" s="27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5"/>
      <c r="B320" s="13"/>
      <c r="C320" s="13"/>
      <c r="D320" s="13"/>
      <c r="E320" s="27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5"/>
      <c r="B321" s="13"/>
      <c r="C321" s="13"/>
      <c r="D321" s="13"/>
      <c r="E321" s="27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5"/>
      <c r="B322" s="13"/>
      <c r="C322" s="13"/>
      <c r="D322" s="13"/>
      <c r="E322" s="27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5"/>
      <c r="B323" s="13"/>
      <c r="C323" s="13"/>
      <c r="D323" s="13"/>
      <c r="E323" s="27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5"/>
      <c r="B324" s="13"/>
      <c r="C324" s="13"/>
      <c r="D324" s="13"/>
      <c r="E324" s="27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5"/>
      <c r="B325" s="13"/>
      <c r="C325" s="13"/>
      <c r="D325" s="13"/>
      <c r="E325" s="27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5"/>
      <c r="B326" s="13"/>
      <c r="C326" s="13"/>
      <c r="D326" s="13"/>
      <c r="E326" s="27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5"/>
      <c r="B327" s="13"/>
      <c r="C327" s="13"/>
      <c r="D327" s="13"/>
      <c r="E327" s="27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5"/>
      <c r="B328" s="13"/>
      <c r="C328" s="13"/>
      <c r="D328" s="13"/>
      <c r="E328" s="27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5"/>
      <c r="B329" s="13"/>
      <c r="C329" s="13"/>
      <c r="D329" s="13"/>
      <c r="E329" s="27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5"/>
      <c r="B330" s="13"/>
      <c r="C330" s="13"/>
      <c r="D330" s="13"/>
      <c r="E330" s="27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5"/>
      <c r="B331" s="13"/>
      <c r="C331" s="13"/>
      <c r="D331" s="13"/>
      <c r="E331" s="27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5"/>
      <c r="B332" s="13"/>
      <c r="C332" s="13"/>
      <c r="D332" s="13"/>
      <c r="E332" s="27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5"/>
      <c r="B333" s="13"/>
      <c r="C333" s="13"/>
      <c r="D333" s="13"/>
      <c r="E333" s="27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5"/>
      <c r="B334" s="13"/>
      <c r="C334" s="13"/>
      <c r="D334" s="13"/>
      <c r="E334" s="27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5"/>
      <c r="B335" s="13"/>
      <c r="C335" s="13"/>
      <c r="D335" s="13"/>
      <c r="E335" s="27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5"/>
      <c r="B336" s="13"/>
      <c r="C336" s="13"/>
      <c r="D336" s="13"/>
      <c r="E336" s="27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5"/>
      <c r="B337" s="13"/>
      <c r="C337" s="13"/>
      <c r="D337" s="13"/>
      <c r="E337" s="27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5"/>
      <c r="B338" s="13"/>
      <c r="C338" s="13"/>
      <c r="D338" s="13"/>
      <c r="E338" s="27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5"/>
      <c r="B339" s="13"/>
      <c r="C339" s="13"/>
      <c r="D339" s="13"/>
      <c r="E339" s="27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5"/>
      <c r="B340" s="13"/>
      <c r="C340" s="13"/>
      <c r="D340" s="13"/>
      <c r="E340" s="27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5"/>
      <c r="B341" s="13"/>
      <c r="C341" s="13"/>
      <c r="D341" s="13"/>
      <c r="E341" s="27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5"/>
      <c r="B342" s="13"/>
      <c r="C342" s="13"/>
      <c r="D342" s="13"/>
      <c r="E342" s="27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5"/>
      <c r="B343" s="13"/>
      <c r="C343" s="13"/>
      <c r="D343" s="13"/>
      <c r="E343" s="27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5"/>
      <c r="B344" s="13"/>
      <c r="C344" s="13"/>
      <c r="D344" s="13"/>
      <c r="E344" s="27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5"/>
      <c r="B345" s="13"/>
      <c r="C345" s="13"/>
      <c r="D345" s="13"/>
      <c r="E345" s="27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5"/>
      <c r="B346" s="13"/>
      <c r="C346" s="13"/>
      <c r="D346" s="13"/>
      <c r="E346" s="27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5"/>
      <c r="B347" s="13"/>
      <c r="C347" s="13"/>
      <c r="D347" s="13"/>
      <c r="E347" s="27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5"/>
      <c r="B348" s="13"/>
      <c r="C348" s="13"/>
      <c r="D348" s="13"/>
      <c r="E348" s="27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5"/>
      <c r="B349" s="13"/>
      <c r="C349" s="13"/>
      <c r="D349" s="13"/>
      <c r="E349" s="27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5"/>
      <c r="B350" s="13"/>
      <c r="C350" s="13"/>
      <c r="D350" s="13"/>
      <c r="E350" s="27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5"/>
      <c r="B351" s="13"/>
      <c r="C351" s="13"/>
      <c r="D351" s="13"/>
      <c r="E351" s="27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5"/>
      <c r="B352" s="13"/>
      <c r="C352" s="13"/>
      <c r="D352" s="13"/>
      <c r="E352" s="27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5"/>
      <c r="B353" s="13"/>
      <c r="C353" s="13"/>
      <c r="D353" s="13"/>
      <c r="E353" s="27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5"/>
      <c r="B354" s="13"/>
      <c r="C354" s="13"/>
      <c r="D354" s="13"/>
      <c r="E354" s="27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5"/>
      <c r="B355" s="13"/>
      <c r="C355" s="13"/>
      <c r="D355" s="13"/>
      <c r="E355" s="27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5"/>
      <c r="B356" s="13"/>
      <c r="C356" s="13"/>
      <c r="D356" s="13"/>
      <c r="E356" s="27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5"/>
      <c r="B357" s="13"/>
      <c r="C357" s="13"/>
      <c r="D357" s="13"/>
      <c r="E357" s="27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5"/>
      <c r="B358" s="13"/>
      <c r="C358" s="13"/>
      <c r="D358" s="13"/>
      <c r="E358" s="27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5"/>
      <c r="B359" s="13"/>
      <c r="C359" s="13"/>
      <c r="D359" s="13"/>
      <c r="E359" s="27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5"/>
      <c r="B360" s="13"/>
      <c r="C360" s="13"/>
      <c r="D360" s="13"/>
      <c r="E360" s="27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5"/>
      <c r="B361" s="13"/>
      <c r="C361" s="13"/>
      <c r="D361" s="13"/>
      <c r="E361" s="27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5"/>
      <c r="B362" s="13"/>
      <c r="C362" s="13"/>
      <c r="D362" s="13"/>
      <c r="E362" s="27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5"/>
      <c r="B363" s="13"/>
      <c r="C363" s="13"/>
      <c r="D363" s="13"/>
      <c r="E363" s="27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5"/>
      <c r="B364" s="13"/>
      <c r="C364" s="13"/>
      <c r="D364" s="13"/>
      <c r="E364" s="27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5"/>
      <c r="B365" s="13"/>
      <c r="C365" s="13"/>
      <c r="D365" s="13"/>
      <c r="E365" s="27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5"/>
      <c r="B366" s="13"/>
      <c r="C366" s="13"/>
      <c r="D366" s="13"/>
      <c r="E366" s="27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5"/>
      <c r="B367" s="13"/>
      <c r="C367" s="13"/>
      <c r="D367" s="13"/>
      <c r="E367" s="27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5"/>
      <c r="B368" s="13"/>
      <c r="C368" s="13"/>
      <c r="D368" s="13"/>
      <c r="E368" s="27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5"/>
      <c r="B369" s="13"/>
      <c r="C369" s="13"/>
      <c r="D369" s="13"/>
      <c r="E369" s="27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5"/>
      <c r="B370" s="13"/>
      <c r="C370" s="13"/>
      <c r="D370" s="13"/>
      <c r="E370" s="27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5"/>
      <c r="B371" s="13"/>
      <c r="C371" s="13"/>
      <c r="D371" s="13"/>
      <c r="E371" s="27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5"/>
      <c r="B372" s="13"/>
      <c r="C372" s="13"/>
      <c r="D372" s="13"/>
      <c r="E372" s="27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5"/>
      <c r="B373" s="13"/>
      <c r="C373" s="13"/>
      <c r="D373" s="13"/>
      <c r="E373" s="27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5"/>
      <c r="B374" s="13"/>
      <c r="C374" s="13"/>
      <c r="D374" s="13"/>
      <c r="E374" s="27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5"/>
      <c r="B375" s="13"/>
      <c r="C375" s="13"/>
      <c r="D375" s="13"/>
      <c r="E375" s="27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5"/>
      <c r="B376" s="13"/>
      <c r="C376" s="13"/>
      <c r="D376" s="13"/>
      <c r="E376" s="27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5"/>
      <c r="B377" s="13"/>
      <c r="C377" s="13"/>
      <c r="D377" s="13"/>
      <c r="E377" s="27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5"/>
      <c r="B378" s="13"/>
      <c r="C378" s="13"/>
      <c r="D378" s="13"/>
      <c r="E378" s="27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5"/>
      <c r="B379" s="13"/>
      <c r="C379" s="13"/>
      <c r="D379" s="13"/>
      <c r="E379" s="27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5"/>
      <c r="B380" s="13"/>
      <c r="C380" s="13"/>
      <c r="D380" s="13"/>
      <c r="E380" s="27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5"/>
      <c r="B381" s="13"/>
      <c r="C381" s="13"/>
      <c r="D381" s="13"/>
      <c r="E381" s="27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5"/>
      <c r="B382" s="13"/>
      <c r="C382" s="13"/>
      <c r="D382" s="13"/>
      <c r="E382" s="27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5"/>
      <c r="B383" s="13"/>
      <c r="C383" s="13"/>
      <c r="D383" s="13"/>
      <c r="E383" s="27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5"/>
      <c r="B384" s="13"/>
      <c r="C384" s="13"/>
      <c r="D384" s="13"/>
      <c r="E384" s="27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5"/>
      <c r="B385" s="13"/>
      <c r="C385" s="13"/>
      <c r="D385" s="13"/>
      <c r="E385" s="27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5"/>
      <c r="B386" s="13"/>
      <c r="C386" s="13"/>
      <c r="D386" s="13"/>
      <c r="E386" s="27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5"/>
      <c r="B387" s="13"/>
      <c r="C387" s="13"/>
      <c r="D387" s="13"/>
      <c r="E387" s="27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5"/>
      <c r="B388" s="13"/>
      <c r="C388" s="13"/>
      <c r="D388" s="13"/>
      <c r="E388" s="27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5"/>
      <c r="B389" s="13"/>
      <c r="C389" s="13"/>
      <c r="D389" s="13"/>
      <c r="E389" s="27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5"/>
      <c r="B390" s="13"/>
      <c r="C390" s="13"/>
      <c r="D390" s="13"/>
      <c r="E390" s="27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5"/>
      <c r="B391" s="13"/>
      <c r="C391" s="13"/>
      <c r="D391" s="13"/>
      <c r="E391" s="27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5"/>
      <c r="B392" s="13"/>
      <c r="C392" s="13"/>
      <c r="D392" s="13"/>
      <c r="E392" s="27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5"/>
      <c r="B393" s="13"/>
      <c r="C393" s="13"/>
      <c r="D393" s="13"/>
      <c r="E393" s="27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5"/>
      <c r="B394" s="13"/>
      <c r="C394" s="13"/>
      <c r="D394" s="13"/>
      <c r="E394" s="27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5"/>
      <c r="B395" s="13"/>
      <c r="C395" s="13"/>
      <c r="D395" s="13"/>
      <c r="E395" s="27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5"/>
      <c r="B396" s="13"/>
      <c r="C396" s="13"/>
      <c r="D396" s="13"/>
      <c r="E396" s="27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5"/>
      <c r="B397" s="13"/>
      <c r="C397" s="13"/>
      <c r="D397" s="13"/>
      <c r="E397" s="27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5"/>
      <c r="B398" s="13"/>
      <c r="C398" s="13"/>
      <c r="D398" s="13"/>
      <c r="E398" s="27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5"/>
      <c r="B399" s="13"/>
      <c r="C399" s="13"/>
      <c r="D399" s="13"/>
      <c r="E399" s="27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5"/>
      <c r="B400" s="13"/>
      <c r="C400" s="13"/>
      <c r="D400" s="13"/>
      <c r="E400" s="27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5"/>
      <c r="B401" s="13"/>
      <c r="C401" s="13"/>
      <c r="D401" s="13"/>
      <c r="E401" s="27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5"/>
      <c r="B402" s="13"/>
      <c r="C402" s="13"/>
      <c r="D402" s="13"/>
      <c r="E402" s="27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5"/>
      <c r="B403" s="13"/>
      <c r="C403" s="13"/>
      <c r="D403" s="13"/>
      <c r="E403" s="27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5"/>
      <c r="B404" s="13"/>
      <c r="C404" s="13"/>
      <c r="D404" s="13"/>
      <c r="E404" s="27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5"/>
      <c r="B405" s="13"/>
      <c r="C405" s="13"/>
      <c r="D405" s="13"/>
      <c r="E405" s="27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5"/>
      <c r="B406" s="13"/>
      <c r="C406" s="13"/>
      <c r="D406" s="13"/>
      <c r="E406" s="27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5"/>
      <c r="B407" s="13"/>
      <c r="C407" s="13"/>
      <c r="D407" s="13"/>
      <c r="E407" s="27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5"/>
      <c r="B408" s="13"/>
      <c r="C408" s="13"/>
      <c r="D408" s="13"/>
      <c r="E408" s="27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5"/>
      <c r="B409" s="13"/>
      <c r="C409" s="13"/>
      <c r="D409" s="13"/>
      <c r="E409" s="27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5"/>
      <c r="B410" s="13"/>
      <c r="C410" s="13"/>
      <c r="D410" s="13"/>
      <c r="E410" s="27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5"/>
      <c r="B411" s="13"/>
      <c r="C411" s="13"/>
      <c r="D411" s="13"/>
      <c r="E411" s="27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5"/>
      <c r="B412" s="13"/>
      <c r="C412" s="13"/>
      <c r="D412" s="13"/>
      <c r="E412" s="27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5"/>
      <c r="B413" s="13"/>
      <c r="C413" s="13"/>
      <c r="D413" s="13"/>
      <c r="E413" s="27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5"/>
      <c r="B414" s="13"/>
      <c r="C414" s="13"/>
      <c r="D414" s="13"/>
      <c r="E414" s="27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5"/>
      <c r="B415" s="13"/>
      <c r="C415" s="13"/>
      <c r="D415" s="13"/>
      <c r="E415" s="27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5"/>
      <c r="B416" s="13"/>
      <c r="C416" s="13"/>
      <c r="D416" s="13"/>
      <c r="E416" s="27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5"/>
      <c r="B417" s="13"/>
      <c r="C417" s="13"/>
      <c r="D417" s="13"/>
      <c r="E417" s="27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5"/>
      <c r="B418" s="13"/>
      <c r="C418" s="13"/>
      <c r="D418" s="13"/>
      <c r="E418" s="27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5"/>
      <c r="B419" s="13"/>
      <c r="C419" s="13"/>
      <c r="D419" s="13"/>
      <c r="E419" s="27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5"/>
      <c r="B420" s="13"/>
      <c r="C420" s="13"/>
      <c r="D420" s="13"/>
      <c r="E420" s="27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5"/>
      <c r="B421" s="13"/>
      <c r="C421" s="13"/>
      <c r="D421" s="13"/>
      <c r="E421" s="27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5"/>
      <c r="B422" s="13"/>
      <c r="C422" s="13"/>
      <c r="D422" s="13"/>
      <c r="E422" s="27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5"/>
      <c r="B423" s="13"/>
      <c r="C423" s="13"/>
      <c r="D423" s="13"/>
      <c r="E423" s="27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5"/>
      <c r="B424" s="13"/>
      <c r="C424" s="13"/>
      <c r="D424" s="13"/>
      <c r="E424" s="27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5"/>
      <c r="B425" s="13"/>
      <c r="C425" s="13"/>
      <c r="D425" s="13"/>
      <c r="E425" s="27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5"/>
      <c r="B426" s="13"/>
      <c r="C426" s="13"/>
      <c r="D426" s="13"/>
      <c r="E426" s="27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5"/>
      <c r="B427" s="13"/>
      <c r="C427" s="13"/>
      <c r="D427" s="13"/>
      <c r="E427" s="27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5"/>
      <c r="B428" s="13"/>
      <c r="C428" s="13"/>
      <c r="D428" s="13"/>
      <c r="E428" s="27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5"/>
      <c r="B429" s="13"/>
      <c r="C429" s="13"/>
      <c r="D429" s="13"/>
      <c r="E429" s="27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5"/>
      <c r="B430" s="13"/>
      <c r="C430" s="13"/>
      <c r="D430" s="13"/>
      <c r="E430" s="27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5"/>
      <c r="B431" s="13"/>
      <c r="C431" s="13"/>
      <c r="D431" s="13"/>
      <c r="E431" s="27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5"/>
      <c r="B432" s="13"/>
      <c r="C432" s="13"/>
      <c r="D432" s="13"/>
      <c r="E432" s="27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5"/>
      <c r="B433" s="13"/>
      <c r="C433" s="13"/>
      <c r="D433" s="13"/>
      <c r="E433" s="27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5"/>
      <c r="B434" s="13"/>
      <c r="C434" s="13"/>
      <c r="D434" s="13"/>
      <c r="E434" s="27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5"/>
      <c r="B435" s="13"/>
      <c r="C435" s="13"/>
      <c r="D435" s="13"/>
      <c r="E435" s="27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5"/>
      <c r="B436" s="13"/>
      <c r="C436" s="13"/>
      <c r="D436" s="13"/>
      <c r="E436" s="27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5"/>
      <c r="B437" s="13"/>
      <c r="C437" s="13"/>
      <c r="D437" s="13"/>
      <c r="E437" s="27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5"/>
      <c r="B438" s="13"/>
      <c r="C438" s="13"/>
      <c r="D438" s="13"/>
      <c r="E438" s="27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5"/>
      <c r="B439" s="13"/>
      <c r="C439" s="13"/>
      <c r="D439" s="13"/>
      <c r="E439" s="27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5"/>
      <c r="B440" s="13"/>
      <c r="C440" s="13"/>
      <c r="D440" s="13"/>
      <c r="E440" s="27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5"/>
      <c r="B441" s="13"/>
      <c r="C441" s="13"/>
      <c r="D441" s="13"/>
      <c r="E441" s="27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5"/>
      <c r="B442" s="13"/>
      <c r="C442" s="13"/>
      <c r="D442" s="13"/>
      <c r="E442" s="27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5"/>
      <c r="B443" s="13"/>
      <c r="C443" s="13"/>
      <c r="D443" s="13"/>
      <c r="E443" s="27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5"/>
      <c r="B444" s="13"/>
      <c r="C444" s="13"/>
      <c r="D444" s="13"/>
      <c r="E444" s="27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5"/>
      <c r="B445" s="13"/>
      <c r="C445" s="13"/>
      <c r="D445" s="13"/>
      <c r="E445" s="27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5"/>
      <c r="B446" s="13"/>
      <c r="C446" s="13"/>
      <c r="D446" s="13"/>
      <c r="E446" s="27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5"/>
      <c r="B447" s="13"/>
      <c r="C447" s="13"/>
      <c r="D447" s="13"/>
      <c r="E447" s="27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5"/>
      <c r="B448" s="13"/>
      <c r="C448" s="13"/>
      <c r="D448" s="13"/>
      <c r="E448" s="27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5"/>
      <c r="B449" s="13"/>
      <c r="C449" s="13"/>
      <c r="D449" s="13"/>
      <c r="E449" s="27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5"/>
      <c r="B450" s="13"/>
      <c r="C450" s="13"/>
      <c r="D450" s="13"/>
      <c r="E450" s="27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5"/>
      <c r="B451" s="13"/>
      <c r="C451" s="13"/>
      <c r="D451" s="13"/>
      <c r="E451" s="2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5"/>
      <c r="B452" s="13"/>
      <c r="C452" s="13"/>
      <c r="D452" s="13"/>
      <c r="E452" s="27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5"/>
      <c r="B453" s="13"/>
      <c r="C453" s="13"/>
      <c r="D453" s="13"/>
      <c r="E453" s="27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5"/>
      <c r="B454" s="13"/>
      <c r="C454" s="13"/>
      <c r="D454" s="13"/>
      <c r="E454" s="27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5"/>
      <c r="B455" s="13"/>
      <c r="C455" s="13"/>
      <c r="D455" s="13"/>
      <c r="E455" s="27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5"/>
      <c r="B456" s="13"/>
      <c r="C456" s="13"/>
      <c r="D456" s="13"/>
      <c r="E456" s="27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5"/>
      <c r="B457" s="13"/>
      <c r="C457" s="13"/>
      <c r="D457" s="13"/>
      <c r="E457" s="27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5"/>
      <c r="B458" s="13"/>
      <c r="C458" s="13"/>
      <c r="D458" s="13"/>
      <c r="E458" s="27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5"/>
      <c r="B459" s="13"/>
      <c r="C459" s="13"/>
      <c r="D459" s="13"/>
      <c r="E459" s="27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5"/>
      <c r="B460" s="13"/>
      <c r="C460" s="13"/>
      <c r="D460" s="13"/>
      <c r="E460" s="27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5"/>
      <c r="B461" s="13"/>
      <c r="C461" s="13"/>
      <c r="D461" s="13"/>
      <c r="E461" s="27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5"/>
      <c r="B462" s="13"/>
      <c r="C462" s="13"/>
      <c r="D462" s="13"/>
      <c r="E462" s="27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5"/>
      <c r="B463" s="13"/>
      <c r="C463" s="13"/>
      <c r="D463" s="13"/>
      <c r="E463" s="27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5"/>
      <c r="B464" s="13"/>
      <c r="C464" s="13"/>
      <c r="D464" s="13"/>
      <c r="E464" s="27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5"/>
      <c r="B465" s="13"/>
      <c r="C465" s="13"/>
      <c r="D465" s="13"/>
      <c r="E465" s="27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5"/>
      <c r="B466" s="13"/>
      <c r="C466" s="13"/>
      <c r="D466" s="13"/>
      <c r="E466" s="27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5"/>
      <c r="B467" s="13"/>
      <c r="C467" s="13"/>
      <c r="D467" s="13"/>
      <c r="E467" s="27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5"/>
      <c r="B468" s="13"/>
      <c r="C468" s="13"/>
      <c r="D468" s="13"/>
      <c r="E468" s="27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5"/>
      <c r="B469" s="13"/>
      <c r="C469" s="13"/>
      <c r="D469" s="13"/>
      <c r="E469" s="27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5"/>
      <c r="B470" s="13"/>
      <c r="C470" s="13"/>
      <c r="D470" s="13"/>
      <c r="E470" s="27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5"/>
      <c r="B471" s="13"/>
      <c r="C471" s="13"/>
      <c r="D471" s="13"/>
      <c r="E471" s="27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5"/>
      <c r="B472" s="13"/>
      <c r="C472" s="13"/>
      <c r="D472" s="13"/>
      <c r="E472" s="27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5"/>
      <c r="B473" s="13"/>
      <c r="C473" s="13"/>
      <c r="D473" s="13"/>
      <c r="E473" s="27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5"/>
      <c r="B474" s="13"/>
      <c r="C474" s="13"/>
      <c r="D474" s="13"/>
      <c r="E474" s="27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5"/>
      <c r="B475" s="13"/>
      <c r="C475" s="13"/>
      <c r="D475" s="13"/>
      <c r="E475" s="27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5"/>
      <c r="B476" s="13"/>
      <c r="C476" s="13"/>
      <c r="D476" s="13"/>
      <c r="E476" s="27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5"/>
      <c r="B477" s="13"/>
      <c r="C477" s="13"/>
      <c r="D477" s="13"/>
      <c r="E477" s="27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5"/>
      <c r="B478" s="13"/>
      <c r="C478" s="13"/>
      <c r="D478" s="13"/>
      <c r="E478" s="27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5"/>
      <c r="B479" s="13"/>
      <c r="C479" s="13"/>
      <c r="D479" s="13"/>
      <c r="E479" s="27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5"/>
      <c r="B480" s="13"/>
      <c r="C480" s="13"/>
      <c r="D480" s="13"/>
      <c r="E480" s="27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5"/>
      <c r="B481" s="13"/>
      <c r="C481" s="13"/>
      <c r="D481" s="13"/>
      <c r="E481" s="27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5"/>
      <c r="B482" s="13"/>
      <c r="C482" s="13"/>
      <c r="D482" s="13"/>
      <c r="E482" s="27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5"/>
      <c r="B483" s="13"/>
      <c r="C483" s="13"/>
      <c r="D483" s="13"/>
      <c r="E483" s="27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5"/>
      <c r="B484" s="13"/>
      <c r="C484" s="13"/>
      <c r="D484" s="13"/>
      <c r="E484" s="27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5"/>
      <c r="B485" s="13"/>
      <c r="C485" s="13"/>
      <c r="D485" s="13"/>
      <c r="E485" s="27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5"/>
      <c r="B486" s="13"/>
      <c r="C486" s="13"/>
      <c r="D486" s="13"/>
      <c r="E486" s="27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5"/>
      <c r="B487" s="13"/>
      <c r="C487" s="13"/>
      <c r="D487" s="13"/>
      <c r="E487" s="27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5"/>
      <c r="B488" s="13"/>
      <c r="C488" s="13"/>
      <c r="D488" s="13"/>
      <c r="E488" s="27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5"/>
      <c r="B489" s="13"/>
      <c r="C489" s="13"/>
      <c r="D489" s="13"/>
      <c r="E489" s="27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5"/>
      <c r="B490" s="13"/>
      <c r="C490" s="13"/>
      <c r="D490" s="13"/>
      <c r="E490" s="27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5"/>
      <c r="B491" s="13"/>
      <c r="C491" s="13"/>
      <c r="D491" s="13"/>
      <c r="E491" s="27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5"/>
      <c r="B492" s="13"/>
      <c r="C492" s="13"/>
      <c r="D492" s="13"/>
      <c r="E492" s="27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5"/>
      <c r="B493" s="13"/>
      <c r="C493" s="13"/>
      <c r="D493" s="13"/>
      <c r="E493" s="27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5"/>
      <c r="B494" s="13"/>
      <c r="C494" s="13"/>
      <c r="D494" s="13"/>
      <c r="E494" s="27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5"/>
      <c r="B495" s="13"/>
      <c r="C495" s="13"/>
      <c r="D495" s="13"/>
      <c r="E495" s="27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5"/>
      <c r="B496" s="13"/>
      <c r="C496" s="13"/>
      <c r="D496" s="13"/>
      <c r="E496" s="27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5"/>
      <c r="B497" s="13"/>
      <c r="C497" s="13"/>
      <c r="D497" s="13"/>
      <c r="E497" s="27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5"/>
      <c r="B498" s="13"/>
      <c r="C498" s="13"/>
      <c r="D498" s="13"/>
      <c r="E498" s="27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5"/>
      <c r="B499" s="13"/>
      <c r="C499" s="13"/>
      <c r="D499" s="13"/>
      <c r="E499" s="27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5"/>
      <c r="B500" s="13"/>
      <c r="C500" s="13"/>
      <c r="D500" s="13"/>
      <c r="E500" s="27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5"/>
      <c r="B501" s="13"/>
      <c r="C501" s="13"/>
      <c r="D501" s="13"/>
      <c r="E501" s="27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5"/>
      <c r="B502" s="13"/>
      <c r="C502" s="13"/>
      <c r="D502" s="13"/>
      <c r="E502" s="27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5"/>
      <c r="B503" s="13"/>
      <c r="C503" s="13"/>
      <c r="D503" s="13"/>
      <c r="E503" s="27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5"/>
      <c r="B504" s="13"/>
      <c r="C504" s="13"/>
      <c r="D504" s="13"/>
      <c r="E504" s="27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5"/>
      <c r="B505" s="13"/>
      <c r="C505" s="13"/>
      <c r="D505" s="13"/>
      <c r="E505" s="27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5"/>
      <c r="B506" s="13"/>
      <c r="C506" s="13"/>
      <c r="D506" s="13"/>
      <c r="E506" s="27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5"/>
      <c r="B507" s="13"/>
      <c r="C507" s="13"/>
      <c r="D507" s="13"/>
      <c r="E507" s="27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5"/>
      <c r="B508" s="13"/>
      <c r="C508" s="13"/>
      <c r="D508" s="13"/>
      <c r="E508" s="27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5"/>
      <c r="B509" s="13"/>
      <c r="C509" s="13"/>
      <c r="D509" s="13"/>
      <c r="E509" s="27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5"/>
      <c r="B510" s="13"/>
      <c r="C510" s="13"/>
      <c r="D510" s="13"/>
      <c r="E510" s="27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5"/>
      <c r="B511" s="13"/>
      <c r="C511" s="13"/>
      <c r="D511" s="13"/>
      <c r="E511" s="27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5"/>
      <c r="B512" s="13"/>
      <c r="C512" s="13"/>
      <c r="D512" s="13"/>
      <c r="E512" s="27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5"/>
      <c r="B513" s="13"/>
      <c r="C513" s="13"/>
      <c r="D513" s="13"/>
      <c r="E513" s="27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5"/>
      <c r="B514" s="13"/>
      <c r="C514" s="13"/>
      <c r="D514" s="13"/>
      <c r="E514" s="27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5"/>
      <c r="B515" s="13"/>
      <c r="C515" s="13"/>
      <c r="D515" s="13"/>
      <c r="E515" s="27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5"/>
      <c r="B516" s="13"/>
      <c r="C516" s="13"/>
      <c r="D516" s="13"/>
      <c r="E516" s="27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5"/>
      <c r="B517" s="13"/>
      <c r="C517" s="13"/>
      <c r="D517" s="13"/>
      <c r="E517" s="27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5"/>
      <c r="B518" s="13"/>
      <c r="C518" s="13"/>
      <c r="D518" s="13"/>
      <c r="E518" s="27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5"/>
      <c r="B519" s="13"/>
      <c r="C519" s="13"/>
      <c r="D519" s="13"/>
      <c r="E519" s="27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5"/>
      <c r="B520" s="13"/>
      <c r="C520" s="13"/>
      <c r="D520" s="13"/>
      <c r="E520" s="27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5"/>
      <c r="B521" s="13"/>
      <c r="C521" s="13"/>
      <c r="D521" s="13"/>
      <c r="E521" s="27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5"/>
      <c r="B522" s="13"/>
      <c r="C522" s="13"/>
      <c r="D522" s="13"/>
      <c r="E522" s="27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5"/>
      <c r="B523" s="13"/>
      <c r="C523" s="13"/>
      <c r="D523" s="13"/>
      <c r="E523" s="27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5"/>
      <c r="B524" s="13"/>
      <c r="C524" s="13"/>
      <c r="D524" s="13"/>
      <c r="E524" s="27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5"/>
      <c r="B525" s="13"/>
      <c r="C525" s="13"/>
      <c r="D525" s="13"/>
      <c r="E525" s="27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5"/>
      <c r="B526" s="13"/>
      <c r="C526" s="13"/>
      <c r="D526" s="13"/>
      <c r="E526" s="27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5"/>
      <c r="B527" s="13"/>
      <c r="C527" s="13"/>
      <c r="D527" s="13"/>
      <c r="E527" s="27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5"/>
      <c r="B528" s="13"/>
      <c r="C528" s="13"/>
      <c r="D528" s="13"/>
      <c r="E528" s="27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5"/>
      <c r="B529" s="13"/>
      <c r="C529" s="13"/>
      <c r="D529" s="13"/>
      <c r="E529" s="27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5"/>
      <c r="B530" s="13"/>
      <c r="C530" s="13"/>
      <c r="D530" s="13"/>
      <c r="E530" s="27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5"/>
      <c r="B531" s="13"/>
      <c r="C531" s="13"/>
      <c r="D531" s="13"/>
      <c r="E531" s="27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5"/>
      <c r="B532" s="13"/>
      <c r="C532" s="13"/>
      <c r="D532" s="13"/>
      <c r="E532" s="27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5"/>
      <c r="B533" s="13"/>
      <c r="C533" s="13"/>
      <c r="D533" s="13"/>
      <c r="E533" s="27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5"/>
      <c r="B534" s="13"/>
      <c r="C534" s="13"/>
      <c r="D534" s="13"/>
      <c r="E534" s="27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5"/>
      <c r="B535" s="13"/>
      <c r="C535" s="13"/>
      <c r="D535" s="13"/>
      <c r="E535" s="27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5"/>
      <c r="B536" s="13"/>
      <c r="C536" s="13"/>
      <c r="D536" s="13"/>
      <c r="E536" s="27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5"/>
      <c r="B537" s="13"/>
      <c r="C537" s="13"/>
      <c r="D537" s="13"/>
      <c r="E537" s="27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5"/>
      <c r="B538" s="13"/>
      <c r="C538" s="13"/>
      <c r="D538" s="13"/>
      <c r="E538" s="27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5"/>
      <c r="B539" s="13"/>
      <c r="C539" s="13"/>
      <c r="D539" s="13"/>
      <c r="E539" s="27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5"/>
      <c r="B540" s="13"/>
      <c r="C540" s="13"/>
      <c r="D540" s="13"/>
      <c r="E540" s="27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5"/>
      <c r="B541" s="13"/>
      <c r="C541" s="13"/>
      <c r="D541" s="13"/>
      <c r="E541" s="27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5"/>
      <c r="B542" s="13"/>
      <c r="C542" s="13"/>
      <c r="D542" s="13"/>
      <c r="E542" s="27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5"/>
      <c r="B543" s="13"/>
      <c r="C543" s="13"/>
      <c r="D543" s="13"/>
      <c r="E543" s="27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5"/>
      <c r="B544" s="13"/>
      <c r="C544" s="13"/>
      <c r="D544" s="13"/>
      <c r="E544" s="27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5"/>
      <c r="B545" s="13"/>
      <c r="C545" s="13"/>
      <c r="D545" s="13"/>
      <c r="E545" s="27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5"/>
      <c r="B546" s="13"/>
      <c r="C546" s="13"/>
      <c r="D546" s="13"/>
      <c r="E546" s="27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5"/>
      <c r="B547" s="13"/>
      <c r="C547" s="13"/>
      <c r="D547" s="13"/>
      <c r="E547" s="27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5"/>
      <c r="B548" s="13"/>
      <c r="C548" s="13"/>
      <c r="D548" s="13"/>
      <c r="E548" s="27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5"/>
      <c r="B549" s="13"/>
      <c r="C549" s="13"/>
      <c r="D549" s="13"/>
      <c r="E549" s="27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5"/>
      <c r="B550" s="13"/>
      <c r="C550" s="13"/>
      <c r="D550" s="13"/>
      <c r="E550" s="27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5"/>
      <c r="B551" s="13"/>
      <c r="C551" s="13"/>
      <c r="D551" s="13"/>
      <c r="E551" s="27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5"/>
      <c r="B552" s="13"/>
      <c r="C552" s="13"/>
      <c r="D552" s="13"/>
      <c r="E552" s="27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5"/>
      <c r="B553" s="13"/>
      <c r="C553" s="13"/>
      <c r="D553" s="13"/>
      <c r="E553" s="27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5"/>
      <c r="B554" s="13"/>
      <c r="C554" s="13"/>
      <c r="D554" s="13"/>
      <c r="E554" s="27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5"/>
      <c r="B555" s="13"/>
      <c r="C555" s="13"/>
      <c r="D555" s="13"/>
      <c r="E555" s="27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5"/>
      <c r="B556" s="13"/>
      <c r="C556" s="13"/>
      <c r="D556" s="13"/>
      <c r="E556" s="27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5"/>
      <c r="B557" s="13"/>
      <c r="C557" s="13"/>
      <c r="D557" s="13"/>
      <c r="E557" s="27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5"/>
      <c r="B558" s="13"/>
      <c r="C558" s="13"/>
      <c r="D558" s="13"/>
      <c r="E558" s="27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5"/>
      <c r="B559" s="13"/>
      <c r="C559" s="13"/>
      <c r="D559" s="13"/>
      <c r="E559" s="27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5"/>
      <c r="B560" s="13"/>
      <c r="C560" s="13"/>
      <c r="D560" s="13"/>
      <c r="E560" s="27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5"/>
      <c r="B561" s="13"/>
      <c r="C561" s="13"/>
      <c r="D561" s="13"/>
      <c r="E561" s="27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5"/>
      <c r="B562" s="13"/>
      <c r="C562" s="13"/>
      <c r="D562" s="13"/>
      <c r="E562" s="27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5"/>
      <c r="B563" s="13"/>
      <c r="C563" s="13"/>
      <c r="D563" s="13"/>
      <c r="E563" s="27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5"/>
      <c r="B564" s="13"/>
      <c r="C564" s="13"/>
      <c r="D564" s="13"/>
      <c r="E564" s="27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5"/>
      <c r="B565" s="13"/>
      <c r="C565" s="13"/>
      <c r="D565" s="13"/>
      <c r="E565" s="27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5"/>
      <c r="B566" s="13"/>
      <c r="C566" s="13"/>
      <c r="D566" s="13"/>
      <c r="E566" s="27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5"/>
      <c r="B567" s="13"/>
      <c r="C567" s="13"/>
      <c r="D567" s="13"/>
      <c r="E567" s="27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5"/>
      <c r="B568" s="13"/>
      <c r="C568" s="13"/>
      <c r="D568" s="13"/>
      <c r="E568" s="27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5"/>
      <c r="B569" s="13"/>
      <c r="C569" s="13"/>
      <c r="D569" s="13"/>
      <c r="E569" s="27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5"/>
      <c r="B570" s="13"/>
      <c r="C570" s="13"/>
      <c r="D570" s="13"/>
      <c r="E570" s="27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5"/>
      <c r="B571" s="13"/>
      <c r="C571" s="13"/>
      <c r="D571" s="13"/>
      <c r="E571" s="27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5"/>
      <c r="B572" s="13"/>
      <c r="C572" s="13"/>
      <c r="D572" s="13"/>
      <c r="E572" s="27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5"/>
      <c r="B573" s="13"/>
      <c r="C573" s="13"/>
      <c r="D573" s="13"/>
      <c r="E573" s="27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5"/>
      <c r="B574" s="13"/>
      <c r="C574" s="13"/>
      <c r="D574" s="13"/>
      <c r="E574" s="27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5"/>
      <c r="B575" s="13"/>
      <c r="C575" s="13"/>
      <c r="D575" s="13"/>
      <c r="E575" s="27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5"/>
      <c r="B576" s="13"/>
      <c r="C576" s="13"/>
      <c r="D576" s="13"/>
      <c r="E576" s="27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5"/>
      <c r="B577" s="13"/>
      <c r="C577" s="13"/>
      <c r="D577" s="13"/>
      <c r="E577" s="27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5"/>
      <c r="B578" s="13"/>
      <c r="C578" s="13"/>
      <c r="D578" s="13"/>
      <c r="E578" s="27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5"/>
      <c r="B579" s="13"/>
      <c r="C579" s="13"/>
      <c r="D579" s="13"/>
      <c r="E579" s="27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5"/>
      <c r="B580" s="13"/>
      <c r="C580" s="13"/>
      <c r="D580" s="13"/>
      <c r="E580" s="27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5"/>
      <c r="B581" s="13"/>
      <c r="C581" s="13"/>
      <c r="D581" s="13"/>
      <c r="E581" s="27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5"/>
      <c r="B582" s="13"/>
      <c r="C582" s="13"/>
      <c r="D582" s="13"/>
      <c r="E582" s="27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5"/>
      <c r="B583" s="13"/>
      <c r="C583" s="13"/>
      <c r="D583" s="13"/>
      <c r="E583" s="27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5"/>
      <c r="B584" s="13"/>
      <c r="C584" s="13"/>
      <c r="D584" s="13"/>
      <c r="E584" s="27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5"/>
      <c r="B585" s="13"/>
      <c r="C585" s="13"/>
      <c r="D585" s="13"/>
      <c r="E585" s="27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5"/>
      <c r="B586" s="13"/>
      <c r="C586" s="13"/>
      <c r="D586" s="13"/>
      <c r="E586" s="27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5"/>
      <c r="B587" s="13"/>
      <c r="C587" s="13"/>
      <c r="D587" s="13"/>
      <c r="E587" s="27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5"/>
      <c r="B588" s="13"/>
      <c r="C588" s="13"/>
      <c r="D588" s="13"/>
      <c r="E588" s="27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5"/>
      <c r="B589" s="13"/>
      <c r="C589" s="13"/>
      <c r="D589" s="13"/>
      <c r="E589" s="27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5"/>
      <c r="B590" s="13"/>
      <c r="C590" s="13"/>
      <c r="D590" s="13"/>
      <c r="E590" s="27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5"/>
      <c r="B591" s="13"/>
      <c r="C591" s="13"/>
      <c r="D591" s="13"/>
      <c r="E591" s="27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5"/>
      <c r="B592" s="13"/>
      <c r="C592" s="13"/>
      <c r="D592" s="13"/>
      <c r="E592" s="27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5"/>
      <c r="B593" s="13"/>
      <c r="C593" s="13"/>
      <c r="D593" s="13"/>
      <c r="E593" s="27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5"/>
      <c r="B594" s="13"/>
      <c r="C594" s="13"/>
      <c r="D594" s="13"/>
      <c r="E594" s="27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5"/>
      <c r="B595" s="13"/>
      <c r="C595" s="13"/>
      <c r="D595" s="13"/>
      <c r="E595" s="27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5"/>
      <c r="B596" s="13"/>
      <c r="C596" s="13"/>
      <c r="D596" s="13"/>
      <c r="E596" s="27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5"/>
      <c r="B597" s="13"/>
      <c r="C597" s="13"/>
      <c r="D597" s="13"/>
      <c r="E597" s="27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5"/>
      <c r="B598" s="13"/>
      <c r="C598" s="13"/>
      <c r="D598" s="13"/>
      <c r="E598" s="27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5"/>
      <c r="B599" s="13"/>
      <c r="C599" s="13"/>
      <c r="D599" s="13"/>
      <c r="E599" s="27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5"/>
      <c r="B600" s="13"/>
      <c r="C600" s="13"/>
      <c r="D600" s="13"/>
      <c r="E600" s="27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5"/>
      <c r="B601" s="13"/>
      <c r="C601" s="13"/>
      <c r="D601" s="13"/>
      <c r="E601" s="27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5"/>
      <c r="B602" s="13"/>
      <c r="C602" s="13"/>
      <c r="D602" s="13"/>
      <c r="E602" s="27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5"/>
      <c r="B603" s="13"/>
      <c r="C603" s="13"/>
      <c r="D603" s="13"/>
      <c r="E603" s="27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5"/>
      <c r="B604" s="13"/>
      <c r="C604" s="13"/>
      <c r="D604" s="13"/>
      <c r="E604" s="27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5"/>
      <c r="B605" s="13"/>
      <c r="C605" s="13"/>
      <c r="D605" s="13"/>
      <c r="E605" s="27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5"/>
      <c r="B606" s="13"/>
      <c r="C606" s="13"/>
      <c r="D606" s="13"/>
      <c r="E606" s="27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5"/>
      <c r="B607" s="13"/>
      <c r="C607" s="13"/>
      <c r="D607" s="13"/>
      <c r="E607" s="27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5"/>
      <c r="B608" s="13"/>
      <c r="C608" s="13"/>
      <c r="D608" s="13"/>
      <c r="E608" s="27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5"/>
      <c r="B609" s="13"/>
      <c r="C609" s="13"/>
      <c r="D609" s="13"/>
      <c r="E609" s="27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5"/>
      <c r="B610" s="13"/>
      <c r="C610" s="13"/>
      <c r="D610" s="13"/>
      <c r="E610" s="27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5"/>
      <c r="B611" s="13"/>
      <c r="C611" s="13"/>
      <c r="D611" s="13"/>
      <c r="E611" s="27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5"/>
      <c r="B612" s="13"/>
      <c r="C612" s="13"/>
      <c r="D612" s="13"/>
      <c r="E612" s="27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5"/>
      <c r="B613" s="13"/>
      <c r="C613" s="13"/>
      <c r="D613" s="13"/>
      <c r="E613" s="27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5"/>
      <c r="B614" s="13"/>
      <c r="C614" s="13"/>
      <c r="D614" s="13"/>
      <c r="E614" s="27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5"/>
      <c r="B615" s="13"/>
      <c r="C615" s="13"/>
      <c r="D615" s="13"/>
      <c r="E615" s="27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5"/>
      <c r="B616" s="13"/>
      <c r="C616" s="13"/>
      <c r="D616" s="13"/>
      <c r="E616" s="27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5"/>
      <c r="B617" s="13"/>
      <c r="C617" s="13"/>
      <c r="D617" s="13"/>
      <c r="E617" s="27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5"/>
      <c r="B618" s="13"/>
      <c r="C618" s="13"/>
      <c r="D618" s="13"/>
      <c r="E618" s="27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5"/>
      <c r="B619" s="13"/>
      <c r="C619" s="13"/>
      <c r="D619" s="13"/>
      <c r="E619" s="27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5"/>
      <c r="B620" s="13"/>
      <c r="C620" s="13"/>
      <c r="D620" s="13"/>
      <c r="E620" s="27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5"/>
      <c r="B621" s="13"/>
      <c r="C621" s="13"/>
      <c r="D621" s="13"/>
      <c r="E621" s="27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5"/>
      <c r="B622" s="13"/>
      <c r="C622" s="13"/>
      <c r="D622" s="13"/>
      <c r="E622" s="27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5"/>
      <c r="B623" s="13"/>
      <c r="C623" s="13"/>
      <c r="D623" s="13"/>
      <c r="E623" s="27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5"/>
      <c r="B624" s="13"/>
      <c r="C624" s="13"/>
      <c r="D624" s="13"/>
      <c r="E624" s="27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5"/>
      <c r="B625" s="13"/>
      <c r="C625" s="13"/>
      <c r="D625" s="13"/>
      <c r="E625" s="27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5"/>
      <c r="B626" s="13"/>
      <c r="C626" s="13"/>
      <c r="D626" s="13"/>
      <c r="E626" s="27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5"/>
      <c r="B627" s="13"/>
      <c r="C627" s="13"/>
      <c r="D627" s="13"/>
      <c r="E627" s="27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5"/>
      <c r="B628" s="13"/>
      <c r="C628" s="13"/>
      <c r="D628" s="13"/>
      <c r="E628" s="27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5"/>
      <c r="B629" s="13"/>
      <c r="C629" s="13"/>
      <c r="D629" s="13"/>
      <c r="E629" s="27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5"/>
      <c r="B630" s="13"/>
      <c r="C630" s="13"/>
      <c r="D630" s="13"/>
      <c r="E630" s="27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5"/>
      <c r="B631" s="13"/>
      <c r="C631" s="13"/>
      <c r="D631" s="13"/>
      <c r="E631" s="27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5"/>
      <c r="B632" s="13"/>
      <c r="C632" s="13"/>
      <c r="D632" s="13"/>
      <c r="E632" s="27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5"/>
      <c r="B633" s="13"/>
      <c r="C633" s="13"/>
      <c r="D633" s="13"/>
      <c r="E633" s="27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5"/>
      <c r="B634" s="13"/>
      <c r="C634" s="13"/>
      <c r="D634" s="13"/>
      <c r="E634" s="27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5"/>
      <c r="B635" s="13"/>
      <c r="C635" s="13"/>
      <c r="D635" s="13"/>
      <c r="E635" s="27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5"/>
      <c r="B636" s="13"/>
      <c r="C636" s="13"/>
      <c r="D636" s="13"/>
      <c r="E636" s="2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5"/>
      <c r="B637" s="13"/>
      <c r="C637" s="13"/>
      <c r="D637" s="13"/>
      <c r="E637" s="27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5"/>
      <c r="B638" s="13"/>
      <c r="C638" s="13"/>
      <c r="D638" s="13"/>
      <c r="E638" s="27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5"/>
      <c r="B639" s="13"/>
      <c r="C639" s="13"/>
      <c r="D639" s="13"/>
      <c r="E639" s="27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5"/>
      <c r="B640" s="13"/>
      <c r="C640" s="13"/>
      <c r="D640" s="13"/>
      <c r="E640" s="27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5"/>
      <c r="B641" s="13"/>
      <c r="C641" s="13"/>
      <c r="D641" s="13"/>
      <c r="E641" s="27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5"/>
      <c r="B642" s="13"/>
      <c r="C642" s="13"/>
      <c r="D642" s="13"/>
      <c r="E642" s="27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5"/>
      <c r="B643" s="13"/>
      <c r="C643" s="13"/>
      <c r="D643" s="13"/>
      <c r="E643" s="27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5"/>
      <c r="B644" s="13"/>
      <c r="C644" s="13"/>
      <c r="D644" s="13"/>
      <c r="E644" s="27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5"/>
      <c r="B645" s="13"/>
      <c r="C645" s="13"/>
      <c r="D645" s="13"/>
      <c r="E645" s="27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5"/>
      <c r="B646" s="13"/>
      <c r="C646" s="13"/>
      <c r="D646" s="13"/>
      <c r="E646" s="27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5"/>
      <c r="B647" s="13"/>
      <c r="C647" s="13"/>
      <c r="D647" s="13"/>
      <c r="E647" s="27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5"/>
      <c r="B648" s="13"/>
      <c r="C648" s="13"/>
      <c r="D648" s="13"/>
      <c r="E648" s="27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5"/>
      <c r="B649" s="13"/>
      <c r="C649" s="13"/>
      <c r="D649" s="13"/>
      <c r="E649" s="27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5"/>
      <c r="B650" s="13"/>
      <c r="C650" s="13"/>
      <c r="D650" s="13"/>
      <c r="E650" s="27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5"/>
      <c r="B651" s="13"/>
      <c r="C651" s="13"/>
      <c r="D651" s="13"/>
      <c r="E651" s="27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5"/>
      <c r="B652" s="13"/>
      <c r="C652" s="13"/>
      <c r="D652" s="13"/>
      <c r="E652" s="27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5"/>
      <c r="B653" s="13"/>
      <c r="C653" s="13"/>
      <c r="D653" s="13"/>
      <c r="E653" s="27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5"/>
      <c r="B654" s="13"/>
      <c r="C654" s="13"/>
      <c r="D654" s="13"/>
      <c r="E654" s="27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5"/>
      <c r="B655" s="13"/>
      <c r="C655" s="13"/>
      <c r="D655" s="13"/>
      <c r="E655" s="27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5"/>
      <c r="B656" s="13"/>
      <c r="C656" s="13"/>
      <c r="D656" s="13"/>
      <c r="E656" s="27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5"/>
      <c r="B657" s="13"/>
      <c r="C657" s="13"/>
      <c r="D657" s="13"/>
      <c r="E657" s="27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5"/>
      <c r="B658" s="13"/>
      <c r="C658" s="13"/>
      <c r="D658" s="13"/>
      <c r="E658" s="27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5"/>
      <c r="B659" s="13"/>
      <c r="C659" s="13"/>
      <c r="D659" s="13"/>
      <c r="E659" s="27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5"/>
      <c r="B660" s="13"/>
      <c r="C660" s="13"/>
      <c r="D660" s="13"/>
      <c r="E660" s="27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5"/>
      <c r="B661" s="13"/>
      <c r="C661" s="13"/>
      <c r="D661" s="13"/>
      <c r="E661" s="27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5"/>
      <c r="B662" s="13"/>
      <c r="C662" s="13"/>
      <c r="D662" s="13"/>
      <c r="E662" s="27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5"/>
      <c r="B663" s="13"/>
      <c r="C663" s="13"/>
      <c r="D663" s="13"/>
      <c r="E663" s="27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5"/>
      <c r="B664" s="13"/>
      <c r="C664" s="13"/>
      <c r="D664" s="13"/>
      <c r="E664" s="27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5"/>
      <c r="B665" s="13"/>
      <c r="C665" s="13"/>
      <c r="D665" s="13"/>
      <c r="E665" s="27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5"/>
      <c r="B666" s="13"/>
      <c r="C666" s="13"/>
      <c r="D666" s="13"/>
      <c r="E666" s="27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5"/>
      <c r="B667" s="13"/>
      <c r="C667" s="13"/>
      <c r="D667" s="13"/>
      <c r="E667" s="27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5"/>
      <c r="B668" s="13"/>
      <c r="C668" s="13"/>
      <c r="D668" s="13"/>
      <c r="E668" s="27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5"/>
      <c r="B669" s="13"/>
      <c r="C669" s="13"/>
      <c r="D669" s="13"/>
      <c r="E669" s="27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5"/>
      <c r="B670" s="13"/>
      <c r="C670" s="13"/>
      <c r="D670" s="13"/>
      <c r="E670" s="27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5"/>
      <c r="B671" s="13"/>
      <c r="C671" s="13"/>
      <c r="D671" s="13"/>
      <c r="E671" s="27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5"/>
      <c r="B672" s="13"/>
      <c r="C672" s="13"/>
      <c r="D672" s="13"/>
      <c r="E672" s="27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5"/>
      <c r="B673" s="13"/>
      <c r="C673" s="13"/>
      <c r="D673" s="13"/>
      <c r="E673" s="27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5"/>
      <c r="B674" s="13"/>
      <c r="C674" s="13"/>
      <c r="D674" s="13"/>
      <c r="E674" s="27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5"/>
      <c r="B675" s="13"/>
      <c r="C675" s="13"/>
      <c r="D675" s="13"/>
      <c r="E675" s="27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5"/>
      <c r="B676" s="13"/>
      <c r="C676" s="13"/>
      <c r="D676" s="13"/>
      <c r="E676" s="27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5"/>
      <c r="B677" s="13"/>
      <c r="C677" s="13"/>
      <c r="D677" s="13"/>
      <c r="E677" s="27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5"/>
      <c r="B678" s="13"/>
      <c r="C678" s="13"/>
      <c r="D678" s="13"/>
      <c r="E678" s="27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5"/>
      <c r="B679" s="13"/>
      <c r="C679" s="13"/>
      <c r="D679" s="13"/>
      <c r="E679" s="27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5"/>
      <c r="B680" s="13"/>
      <c r="C680" s="13"/>
      <c r="D680" s="13"/>
      <c r="E680" s="27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5"/>
      <c r="B681" s="13"/>
      <c r="C681" s="13"/>
      <c r="D681" s="13"/>
      <c r="E681" s="27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5"/>
      <c r="B682" s="13"/>
      <c r="C682" s="13"/>
      <c r="D682" s="13"/>
      <c r="E682" s="27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5"/>
      <c r="B683" s="13"/>
      <c r="C683" s="13"/>
      <c r="D683" s="13"/>
      <c r="E683" s="27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5"/>
      <c r="B684" s="13"/>
      <c r="C684" s="13"/>
      <c r="D684" s="13"/>
      <c r="E684" s="27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5"/>
      <c r="B685" s="13"/>
      <c r="C685" s="13"/>
      <c r="D685" s="13"/>
      <c r="E685" s="27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5"/>
      <c r="B686" s="13"/>
      <c r="C686" s="13"/>
      <c r="D686" s="13"/>
      <c r="E686" s="27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5"/>
      <c r="B687" s="13"/>
      <c r="C687" s="13"/>
      <c r="D687" s="13"/>
      <c r="E687" s="27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5"/>
      <c r="B688" s="13"/>
      <c r="C688" s="13"/>
      <c r="D688" s="13"/>
      <c r="E688" s="27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5"/>
      <c r="B689" s="13"/>
      <c r="C689" s="13"/>
      <c r="D689" s="13"/>
      <c r="E689" s="27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5"/>
      <c r="B690" s="13"/>
      <c r="C690" s="13"/>
      <c r="D690" s="13"/>
      <c r="E690" s="27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5"/>
      <c r="B691" s="13"/>
      <c r="C691" s="13"/>
      <c r="D691" s="13"/>
      <c r="E691" s="27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5"/>
      <c r="B692" s="13"/>
      <c r="C692" s="13"/>
      <c r="D692" s="13"/>
      <c r="E692" s="27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5"/>
      <c r="B693" s="13"/>
      <c r="C693" s="13"/>
      <c r="D693" s="13"/>
      <c r="E693" s="27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5"/>
      <c r="B694" s="13"/>
      <c r="C694" s="13"/>
      <c r="D694" s="13"/>
      <c r="E694" s="27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5"/>
      <c r="B695" s="13"/>
      <c r="C695" s="13"/>
      <c r="D695" s="13"/>
      <c r="E695" s="27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5"/>
      <c r="B696" s="13"/>
      <c r="C696" s="13"/>
      <c r="D696" s="13"/>
      <c r="E696" s="27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5"/>
      <c r="B697" s="13"/>
      <c r="C697" s="13"/>
      <c r="D697" s="13"/>
      <c r="E697" s="27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5"/>
      <c r="B698" s="13"/>
      <c r="C698" s="13"/>
      <c r="D698" s="13"/>
      <c r="E698" s="27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5"/>
      <c r="B699" s="13"/>
      <c r="C699" s="13"/>
      <c r="D699" s="13"/>
      <c r="E699" s="27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5"/>
      <c r="B700" s="13"/>
      <c r="C700" s="13"/>
      <c r="D700" s="13"/>
      <c r="E700" s="27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5"/>
      <c r="B701" s="13"/>
      <c r="C701" s="13"/>
      <c r="D701" s="13"/>
      <c r="E701" s="27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5"/>
      <c r="B702" s="13"/>
      <c r="C702" s="13"/>
      <c r="D702" s="13"/>
      <c r="E702" s="27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5"/>
      <c r="B703" s="13"/>
      <c r="C703" s="13"/>
      <c r="D703" s="13"/>
      <c r="E703" s="27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5"/>
      <c r="B704" s="13"/>
      <c r="C704" s="13"/>
      <c r="D704" s="13"/>
      <c r="E704" s="27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5"/>
      <c r="B705" s="13"/>
      <c r="C705" s="13"/>
      <c r="D705" s="13"/>
      <c r="E705" s="27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5"/>
      <c r="B706" s="13"/>
      <c r="C706" s="13"/>
      <c r="D706" s="13"/>
      <c r="E706" s="27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5"/>
      <c r="B707" s="13"/>
      <c r="C707" s="13"/>
      <c r="D707" s="13"/>
      <c r="E707" s="27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5"/>
      <c r="B708" s="13"/>
      <c r="C708" s="13"/>
      <c r="D708" s="13"/>
      <c r="E708" s="27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5"/>
      <c r="B709" s="13"/>
      <c r="C709" s="13"/>
      <c r="D709" s="13"/>
      <c r="E709" s="27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5"/>
      <c r="B710" s="13"/>
      <c r="C710" s="13"/>
      <c r="D710" s="13"/>
      <c r="E710" s="27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5"/>
      <c r="B711" s="13"/>
      <c r="C711" s="13"/>
      <c r="D711" s="13"/>
      <c r="E711" s="27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5"/>
      <c r="B712" s="13"/>
      <c r="C712" s="13"/>
      <c r="D712" s="13"/>
      <c r="E712" s="27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5"/>
      <c r="B713" s="13"/>
      <c r="C713" s="13"/>
      <c r="D713" s="13"/>
      <c r="E713" s="27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5"/>
      <c r="B714" s="13"/>
      <c r="C714" s="13"/>
      <c r="D714" s="13"/>
      <c r="E714" s="27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5"/>
      <c r="B715" s="13"/>
      <c r="C715" s="13"/>
      <c r="D715" s="13"/>
      <c r="E715" s="27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5"/>
      <c r="B716" s="13"/>
      <c r="C716" s="13"/>
      <c r="D716" s="13"/>
      <c r="E716" s="27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5"/>
      <c r="B717" s="13"/>
      <c r="C717" s="13"/>
      <c r="D717" s="13"/>
      <c r="E717" s="27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5"/>
      <c r="B718" s="13"/>
      <c r="C718" s="13"/>
      <c r="D718" s="13"/>
      <c r="E718" s="27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5"/>
      <c r="B719" s="13"/>
      <c r="C719" s="13"/>
      <c r="D719" s="13"/>
      <c r="E719" s="27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5"/>
      <c r="B720" s="13"/>
      <c r="C720" s="13"/>
      <c r="D720" s="13"/>
      <c r="E720" s="27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5"/>
      <c r="B721" s="13"/>
      <c r="C721" s="13"/>
      <c r="D721" s="13"/>
      <c r="E721" s="27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5"/>
      <c r="B722" s="13"/>
      <c r="C722" s="13"/>
      <c r="D722" s="13"/>
      <c r="E722" s="2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5"/>
      <c r="B723" s="13"/>
      <c r="C723" s="13"/>
      <c r="D723" s="13"/>
      <c r="E723" s="27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5"/>
      <c r="B724" s="13"/>
      <c r="C724" s="13"/>
      <c r="D724" s="13"/>
      <c r="E724" s="27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5"/>
      <c r="B725" s="13"/>
      <c r="C725" s="13"/>
      <c r="D725" s="13"/>
      <c r="E725" s="27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5"/>
      <c r="B726" s="13"/>
      <c r="C726" s="13"/>
      <c r="D726" s="13"/>
      <c r="E726" s="27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5"/>
      <c r="B727" s="13"/>
      <c r="C727" s="13"/>
      <c r="D727" s="13"/>
      <c r="E727" s="27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5"/>
      <c r="B728" s="13"/>
      <c r="C728" s="13"/>
      <c r="D728" s="13"/>
      <c r="E728" s="27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5"/>
      <c r="B729" s="13"/>
      <c r="C729" s="13"/>
      <c r="D729" s="13"/>
      <c r="E729" s="27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5"/>
      <c r="B730" s="13"/>
      <c r="C730" s="13"/>
      <c r="D730" s="13"/>
      <c r="E730" s="27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5"/>
      <c r="B731" s="13"/>
      <c r="C731" s="13"/>
      <c r="D731" s="13"/>
      <c r="E731" s="27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5"/>
      <c r="B732" s="13"/>
      <c r="C732" s="13"/>
      <c r="D732" s="13"/>
      <c r="E732" s="27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5"/>
      <c r="B733" s="13"/>
      <c r="C733" s="13"/>
      <c r="D733" s="13"/>
      <c r="E733" s="27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5"/>
      <c r="B734" s="13"/>
      <c r="C734" s="13"/>
      <c r="D734" s="13"/>
      <c r="E734" s="27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5"/>
      <c r="B735" s="13"/>
      <c r="C735" s="13"/>
      <c r="D735" s="13"/>
      <c r="E735" s="27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5"/>
      <c r="B736" s="13"/>
      <c r="C736" s="13"/>
      <c r="D736" s="13"/>
      <c r="E736" s="27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5"/>
      <c r="B737" s="13"/>
      <c r="C737" s="13"/>
      <c r="D737" s="13"/>
      <c r="E737" s="27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5"/>
      <c r="B738" s="13"/>
      <c r="C738" s="13"/>
      <c r="D738" s="13"/>
      <c r="E738" s="27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5"/>
      <c r="B739" s="13"/>
      <c r="C739" s="13"/>
      <c r="D739" s="13"/>
      <c r="E739" s="27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5"/>
      <c r="B740" s="13"/>
      <c r="C740" s="13"/>
      <c r="D740" s="13"/>
      <c r="E740" s="27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5"/>
      <c r="B741" s="13"/>
      <c r="C741" s="13"/>
      <c r="D741" s="13"/>
      <c r="E741" s="27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5"/>
      <c r="B742" s="13"/>
      <c r="C742" s="13"/>
      <c r="D742" s="13"/>
      <c r="E742" s="27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5"/>
      <c r="B743" s="13"/>
      <c r="C743" s="13"/>
      <c r="D743" s="13"/>
      <c r="E743" s="27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5"/>
      <c r="B744" s="13"/>
      <c r="C744" s="13"/>
      <c r="D744" s="13"/>
      <c r="E744" s="27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5"/>
      <c r="B745" s="13"/>
      <c r="C745" s="13"/>
      <c r="D745" s="13"/>
      <c r="E745" s="27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5"/>
      <c r="B746" s="13"/>
      <c r="C746" s="13"/>
      <c r="D746" s="13"/>
      <c r="E746" s="27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5"/>
      <c r="B747" s="13"/>
      <c r="C747" s="13"/>
      <c r="D747" s="13"/>
      <c r="E747" s="27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5"/>
      <c r="B748" s="13"/>
      <c r="C748" s="13"/>
      <c r="D748" s="13"/>
      <c r="E748" s="27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5"/>
      <c r="B749" s="13"/>
      <c r="C749" s="13"/>
      <c r="D749" s="13"/>
      <c r="E749" s="27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5"/>
      <c r="B750" s="13"/>
      <c r="C750" s="13"/>
      <c r="D750" s="13"/>
      <c r="E750" s="27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5"/>
      <c r="B751" s="13"/>
      <c r="C751" s="13"/>
      <c r="D751" s="13"/>
      <c r="E751" s="27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5"/>
      <c r="B752" s="13"/>
      <c r="C752" s="13"/>
      <c r="D752" s="13"/>
      <c r="E752" s="27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5"/>
      <c r="B753" s="13"/>
      <c r="C753" s="13"/>
      <c r="D753" s="13"/>
      <c r="E753" s="27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5"/>
      <c r="B754" s="13"/>
      <c r="C754" s="13"/>
      <c r="D754" s="13"/>
      <c r="E754" s="27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5"/>
      <c r="B755" s="13"/>
      <c r="C755" s="13"/>
      <c r="D755" s="13"/>
      <c r="E755" s="27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5"/>
      <c r="B756" s="13"/>
      <c r="C756" s="13"/>
      <c r="D756" s="13"/>
      <c r="E756" s="27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5"/>
      <c r="B757" s="13"/>
      <c r="C757" s="13"/>
      <c r="D757" s="13"/>
      <c r="E757" s="27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5"/>
      <c r="B758" s="13"/>
      <c r="C758" s="13"/>
      <c r="D758" s="13"/>
      <c r="E758" s="27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5"/>
      <c r="B759" s="13"/>
      <c r="C759" s="13"/>
      <c r="D759" s="13"/>
      <c r="E759" s="27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5"/>
      <c r="B760" s="13"/>
      <c r="C760" s="13"/>
      <c r="D760" s="13"/>
      <c r="E760" s="27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5"/>
      <c r="B761" s="13"/>
      <c r="C761" s="13"/>
      <c r="D761" s="13"/>
      <c r="E761" s="27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5"/>
      <c r="B762" s="13"/>
      <c r="C762" s="13"/>
      <c r="D762" s="13"/>
      <c r="E762" s="27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5"/>
      <c r="B763" s="13"/>
      <c r="C763" s="13"/>
      <c r="D763" s="13"/>
      <c r="E763" s="27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5"/>
      <c r="B764" s="13"/>
      <c r="C764" s="13"/>
      <c r="D764" s="13"/>
      <c r="E764" s="27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5"/>
      <c r="B765" s="13"/>
      <c r="C765" s="13"/>
      <c r="D765" s="13"/>
      <c r="E765" s="27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5"/>
      <c r="B766" s="13"/>
      <c r="C766" s="13"/>
      <c r="D766" s="13"/>
      <c r="E766" s="27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5"/>
      <c r="B767" s="13"/>
      <c r="C767" s="13"/>
      <c r="D767" s="13"/>
      <c r="E767" s="27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5"/>
      <c r="B768" s="13"/>
      <c r="C768" s="13"/>
      <c r="D768" s="13"/>
      <c r="E768" s="27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5"/>
      <c r="B769" s="13"/>
      <c r="C769" s="13"/>
      <c r="D769" s="13"/>
      <c r="E769" s="27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5"/>
      <c r="B770" s="13"/>
      <c r="C770" s="13"/>
      <c r="D770" s="13"/>
      <c r="E770" s="27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5"/>
      <c r="B771" s="13"/>
      <c r="C771" s="13"/>
      <c r="D771" s="13"/>
      <c r="E771" s="27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5"/>
      <c r="B772" s="13"/>
      <c r="C772" s="13"/>
      <c r="D772" s="13"/>
      <c r="E772" s="27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5"/>
      <c r="B773" s="13"/>
      <c r="C773" s="13"/>
      <c r="D773" s="13"/>
      <c r="E773" s="27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5"/>
      <c r="B774" s="13"/>
      <c r="C774" s="13"/>
      <c r="D774" s="13"/>
      <c r="E774" s="27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5"/>
      <c r="B775" s="13"/>
      <c r="C775" s="13"/>
      <c r="D775" s="13"/>
      <c r="E775" s="27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5"/>
      <c r="B776" s="13"/>
      <c r="C776" s="13"/>
      <c r="D776" s="13"/>
      <c r="E776" s="27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5"/>
      <c r="B777" s="13"/>
      <c r="C777" s="13"/>
      <c r="D777" s="13"/>
      <c r="E777" s="27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5"/>
      <c r="B778" s="13"/>
      <c r="C778" s="13"/>
      <c r="D778" s="13"/>
      <c r="E778" s="27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5"/>
      <c r="B779" s="13"/>
      <c r="C779" s="13"/>
      <c r="D779" s="13"/>
      <c r="E779" s="27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5"/>
      <c r="B780" s="13"/>
      <c r="C780" s="13"/>
      <c r="D780" s="13"/>
      <c r="E780" s="27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5"/>
      <c r="B781" s="13"/>
      <c r="C781" s="13"/>
      <c r="D781" s="13"/>
      <c r="E781" s="27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5"/>
      <c r="B782" s="13"/>
      <c r="C782" s="13"/>
      <c r="D782" s="13"/>
      <c r="E782" s="27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5"/>
      <c r="B783" s="13"/>
      <c r="C783" s="13"/>
      <c r="D783" s="13"/>
      <c r="E783" s="27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5"/>
      <c r="B784" s="13"/>
      <c r="C784" s="13"/>
      <c r="D784" s="13"/>
      <c r="E784" s="27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5"/>
      <c r="B785" s="13"/>
      <c r="C785" s="13"/>
      <c r="D785" s="13"/>
      <c r="E785" s="27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5"/>
      <c r="B786" s="13"/>
      <c r="C786" s="13"/>
      <c r="D786" s="13"/>
      <c r="E786" s="27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5"/>
      <c r="B787" s="13"/>
      <c r="C787" s="13"/>
      <c r="D787" s="13"/>
      <c r="E787" s="27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5"/>
      <c r="B788" s="13"/>
      <c r="C788" s="13"/>
      <c r="D788" s="13"/>
      <c r="E788" s="27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5"/>
      <c r="B789" s="13"/>
      <c r="C789" s="13"/>
      <c r="D789" s="13"/>
      <c r="E789" s="27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5"/>
      <c r="B790" s="13"/>
      <c r="C790" s="13"/>
      <c r="D790" s="13"/>
      <c r="E790" s="27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5"/>
      <c r="B791" s="13"/>
      <c r="C791" s="13"/>
      <c r="D791" s="13"/>
      <c r="E791" s="27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5"/>
      <c r="B792" s="13"/>
      <c r="C792" s="13"/>
      <c r="D792" s="13"/>
      <c r="E792" s="27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5"/>
      <c r="B793" s="13"/>
      <c r="C793" s="13"/>
      <c r="D793" s="13"/>
      <c r="E793" s="27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5"/>
      <c r="B794" s="13"/>
      <c r="C794" s="13"/>
      <c r="D794" s="13"/>
      <c r="E794" s="27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5"/>
      <c r="B795" s="13"/>
      <c r="C795" s="13"/>
      <c r="D795" s="13"/>
      <c r="E795" s="27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5"/>
      <c r="B796" s="13"/>
      <c r="C796" s="13"/>
      <c r="D796" s="13"/>
      <c r="E796" s="27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5"/>
      <c r="B797" s="13"/>
      <c r="C797" s="13"/>
      <c r="D797" s="13"/>
      <c r="E797" s="27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5"/>
      <c r="B798" s="13"/>
      <c r="C798" s="13"/>
      <c r="D798" s="13"/>
      <c r="E798" s="27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5"/>
      <c r="B799" s="13"/>
      <c r="C799" s="13"/>
      <c r="D799" s="13"/>
      <c r="E799" s="27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5"/>
      <c r="B800" s="13"/>
      <c r="C800" s="13"/>
      <c r="D800" s="13"/>
      <c r="E800" s="27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5"/>
      <c r="B801" s="13"/>
      <c r="C801" s="13"/>
      <c r="D801" s="13"/>
      <c r="E801" s="27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5"/>
      <c r="B802" s="13"/>
      <c r="C802" s="13"/>
      <c r="D802" s="13"/>
      <c r="E802" s="27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5"/>
      <c r="B803" s="13"/>
      <c r="C803" s="13"/>
      <c r="D803" s="13"/>
      <c r="E803" s="27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5"/>
      <c r="B804" s="13"/>
      <c r="C804" s="13"/>
      <c r="D804" s="13"/>
      <c r="E804" s="27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5"/>
      <c r="B805" s="13"/>
      <c r="C805" s="13"/>
      <c r="D805" s="13"/>
      <c r="E805" s="27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5"/>
      <c r="B806" s="13"/>
      <c r="C806" s="13"/>
      <c r="D806" s="13"/>
      <c r="E806" s="27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5"/>
      <c r="B807" s="13"/>
      <c r="C807" s="13"/>
      <c r="D807" s="13"/>
      <c r="E807" s="27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5"/>
      <c r="B808" s="13"/>
      <c r="C808" s="13"/>
      <c r="D808" s="13"/>
      <c r="E808" s="27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5"/>
      <c r="B809" s="13"/>
      <c r="C809" s="13"/>
      <c r="D809" s="13"/>
      <c r="E809" s="27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5"/>
      <c r="B810" s="13"/>
      <c r="C810" s="13"/>
      <c r="D810" s="13"/>
      <c r="E810" s="27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5"/>
      <c r="B811" s="13"/>
      <c r="C811" s="13"/>
      <c r="D811" s="13"/>
      <c r="E811" s="27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5"/>
      <c r="B812" s="13"/>
      <c r="C812" s="13"/>
      <c r="D812" s="13"/>
      <c r="E812" s="27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5"/>
      <c r="B813" s="13"/>
      <c r="C813" s="13"/>
      <c r="D813" s="13"/>
      <c r="E813" s="27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5"/>
      <c r="B814" s="13"/>
      <c r="C814" s="13"/>
      <c r="D814" s="13"/>
      <c r="E814" s="27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5"/>
      <c r="B815" s="13"/>
      <c r="C815" s="13"/>
      <c r="D815" s="13"/>
      <c r="E815" s="27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5"/>
      <c r="B816" s="13"/>
      <c r="C816" s="13"/>
      <c r="D816" s="13"/>
      <c r="E816" s="27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5"/>
      <c r="B817" s="13"/>
      <c r="C817" s="13"/>
      <c r="D817" s="13"/>
      <c r="E817" s="27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5"/>
      <c r="B818" s="13"/>
      <c r="C818" s="13"/>
      <c r="D818" s="13"/>
      <c r="E818" s="27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5"/>
      <c r="B819" s="13"/>
      <c r="C819" s="13"/>
      <c r="D819" s="13"/>
      <c r="E819" s="27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5"/>
      <c r="B820" s="13"/>
      <c r="C820" s="13"/>
      <c r="D820" s="13"/>
      <c r="E820" s="27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5"/>
      <c r="B821" s="13"/>
      <c r="C821" s="13"/>
      <c r="D821" s="13"/>
      <c r="E821" s="27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5"/>
      <c r="B822" s="13"/>
      <c r="C822" s="13"/>
      <c r="D822" s="13"/>
      <c r="E822" s="27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5"/>
      <c r="B823" s="13"/>
      <c r="C823" s="13"/>
      <c r="D823" s="13"/>
      <c r="E823" s="27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5"/>
      <c r="B824" s="13"/>
      <c r="C824" s="13"/>
      <c r="D824" s="13"/>
      <c r="E824" s="27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5"/>
      <c r="B825" s="13"/>
      <c r="C825" s="13"/>
      <c r="D825" s="13"/>
      <c r="E825" s="27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5"/>
      <c r="B826" s="13"/>
      <c r="C826" s="13"/>
      <c r="D826" s="13"/>
      <c r="E826" s="27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5"/>
      <c r="B827" s="13"/>
      <c r="C827" s="13"/>
      <c r="D827" s="13"/>
      <c r="E827" s="27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5"/>
      <c r="B828" s="13"/>
      <c r="C828" s="13"/>
      <c r="D828" s="13"/>
      <c r="E828" s="27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5"/>
      <c r="B829" s="13"/>
      <c r="C829" s="13"/>
      <c r="D829" s="13"/>
      <c r="E829" s="27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5"/>
      <c r="B830" s="13"/>
      <c r="C830" s="13"/>
      <c r="D830" s="13"/>
      <c r="E830" s="27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5"/>
      <c r="B831" s="13"/>
      <c r="C831" s="13"/>
      <c r="D831" s="13"/>
      <c r="E831" s="27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5"/>
      <c r="B832" s="13"/>
      <c r="C832" s="13"/>
      <c r="D832" s="13"/>
      <c r="E832" s="27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5"/>
      <c r="B833" s="13"/>
      <c r="C833" s="13"/>
      <c r="D833" s="13"/>
      <c r="E833" s="27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5"/>
      <c r="B834" s="13"/>
      <c r="C834" s="13"/>
      <c r="D834" s="13"/>
      <c r="E834" s="27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5"/>
      <c r="B835" s="13"/>
      <c r="C835" s="13"/>
      <c r="D835" s="13"/>
      <c r="E835" s="27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5"/>
      <c r="B836" s="13"/>
      <c r="C836" s="13"/>
      <c r="D836" s="13"/>
      <c r="E836" s="27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5"/>
      <c r="B837" s="13"/>
      <c r="C837" s="13"/>
      <c r="D837" s="13"/>
      <c r="E837" s="27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5"/>
      <c r="B838" s="13"/>
      <c r="C838" s="13"/>
      <c r="D838" s="13"/>
      <c r="E838" s="27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5"/>
      <c r="B839" s="13"/>
      <c r="C839" s="13"/>
      <c r="D839" s="13"/>
      <c r="E839" s="27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5"/>
      <c r="B840" s="13"/>
      <c r="C840" s="13"/>
      <c r="D840" s="13"/>
      <c r="E840" s="27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5"/>
      <c r="B841" s="13"/>
      <c r="C841" s="13"/>
      <c r="D841" s="13"/>
      <c r="E841" s="27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5"/>
      <c r="B842" s="13"/>
      <c r="C842" s="13"/>
      <c r="D842" s="13"/>
      <c r="E842" s="27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5"/>
      <c r="B843" s="13"/>
      <c r="C843" s="13"/>
      <c r="D843" s="13"/>
      <c r="E843" s="27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5"/>
      <c r="B844" s="13"/>
      <c r="C844" s="13"/>
      <c r="D844" s="13"/>
      <c r="E844" s="27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5"/>
      <c r="B845" s="13"/>
      <c r="C845" s="13"/>
      <c r="D845" s="13"/>
      <c r="E845" s="27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5"/>
      <c r="B846" s="13"/>
      <c r="C846" s="13"/>
      <c r="D846" s="13"/>
      <c r="E846" s="27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5"/>
      <c r="B847" s="13"/>
      <c r="C847" s="13"/>
      <c r="D847" s="13"/>
      <c r="E847" s="27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5"/>
      <c r="B848" s="13"/>
      <c r="C848" s="13"/>
      <c r="D848" s="13"/>
      <c r="E848" s="27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5"/>
      <c r="B849" s="13"/>
      <c r="C849" s="13"/>
      <c r="D849" s="13"/>
      <c r="E849" s="27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5"/>
      <c r="B850" s="13"/>
      <c r="C850" s="13"/>
      <c r="D850" s="13"/>
      <c r="E850" s="27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5"/>
      <c r="B851" s="13"/>
      <c r="C851" s="13"/>
      <c r="D851" s="13"/>
      <c r="E851" s="27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5"/>
      <c r="B852" s="13"/>
      <c r="C852" s="13"/>
      <c r="D852" s="13"/>
      <c r="E852" s="27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5"/>
      <c r="B853" s="13"/>
      <c r="C853" s="13"/>
      <c r="D853" s="13"/>
      <c r="E853" s="27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5"/>
      <c r="B854" s="13"/>
      <c r="C854" s="13"/>
      <c r="D854" s="13"/>
      <c r="E854" s="27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5"/>
      <c r="B855" s="13"/>
      <c r="C855" s="13"/>
      <c r="D855" s="13"/>
      <c r="E855" s="27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5"/>
      <c r="B856" s="13"/>
      <c r="C856" s="13"/>
      <c r="D856" s="13"/>
      <c r="E856" s="27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5"/>
      <c r="B857" s="13"/>
      <c r="C857" s="13"/>
      <c r="D857" s="13"/>
      <c r="E857" s="27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5"/>
      <c r="B858" s="13"/>
      <c r="C858" s="13"/>
      <c r="D858" s="13"/>
      <c r="E858" s="27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5"/>
      <c r="B859" s="13"/>
      <c r="C859" s="13"/>
      <c r="D859" s="13"/>
      <c r="E859" s="27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5"/>
      <c r="B860" s="13"/>
      <c r="C860" s="13"/>
      <c r="D860" s="13"/>
      <c r="E860" s="27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5"/>
      <c r="B861" s="13"/>
      <c r="C861" s="13"/>
      <c r="D861" s="13"/>
      <c r="E861" s="27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5"/>
      <c r="B862" s="13"/>
      <c r="C862" s="13"/>
      <c r="D862" s="13"/>
      <c r="E862" s="27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5"/>
      <c r="B863" s="13"/>
      <c r="C863" s="13"/>
      <c r="D863" s="13"/>
      <c r="E863" s="27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5"/>
      <c r="B864" s="13"/>
      <c r="C864" s="13"/>
      <c r="D864" s="13"/>
      <c r="E864" s="27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5"/>
      <c r="B865" s="13"/>
      <c r="C865" s="13"/>
      <c r="D865" s="13"/>
      <c r="E865" s="27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5"/>
      <c r="B866" s="13"/>
      <c r="C866" s="13"/>
      <c r="D866" s="13"/>
      <c r="E866" s="27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5"/>
      <c r="B867" s="13"/>
      <c r="C867" s="13"/>
      <c r="D867" s="13"/>
      <c r="E867" s="27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5"/>
      <c r="B868" s="13"/>
      <c r="C868" s="13"/>
      <c r="D868" s="13"/>
      <c r="E868" s="27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5"/>
      <c r="B869" s="13"/>
      <c r="C869" s="13"/>
      <c r="D869" s="13"/>
      <c r="E869" s="27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5"/>
      <c r="B870" s="13"/>
      <c r="C870" s="13"/>
      <c r="D870" s="13"/>
      <c r="E870" s="27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5"/>
      <c r="B871" s="13"/>
      <c r="C871" s="13"/>
      <c r="D871" s="13"/>
      <c r="E871" s="27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5"/>
      <c r="B872" s="13"/>
      <c r="C872" s="13"/>
      <c r="D872" s="13"/>
      <c r="E872" s="27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5"/>
      <c r="B873" s="13"/>
      <c r="C873" s="13"/>
      <c r="D873" s="13"/>
      <c r="E873" s="27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5"/>
      <c r="B874" s="13"/>
      <c r="C874" s="13"/>
      <c r="D874" s="13"/>
      <c r="E874" s="27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5"/>
      <c r="B875" s="13"/>
      <c r="C875" s="13"/>
      <c r="D875" s="13"/>
      <c r="E875" s="27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5"/>
      <c r="B876" s="13"/>
      <c r="C876" s="13"/>
      <c r="D876" s="13"/>
      <c r="E876" s="27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5"/>
      <c r="B877" s="13"/>
      <c r="C877" s="13"/>
      <c r="D877" s="13"/>
      <c r="E877" s="27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5"/>
      <c r="B878" s="13"/>
      <c r="C878" s="13"/>
      <c r="D878" s="13"/>
      <c r="E878" s="27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5"/>
      <c r="B879" s="13"/>
      <c r="C879" s="13"/>
      <c r="D879" s="13"/>
      <c r="E879" s="27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5"/>
      <c r="B880" s="13"/>
      <c r="C880" s="13"/>
      <c r="D880" s="13"/>
      <c r="E880" s="27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5"/>
      <c r="B881" s="13"/>
      <c r="C881" s="13"/>
      <c r="D881" s="13"/>
      <c r="E881" s="27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5"/>
      <c r="B882" s="13"/>
      <c r="C882" s="13"/>
      <c r="D882" s="13"/>
      <c r="E882" s="27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5"/>
      <c r="B883" s="13"/>
      <c r="C883" s="13"/>
      <c r="D883" s="13"/>
      <c r="E883" s="27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5"/>
      <c r="B884" s="13"/>
      <c r="C884" s="13"/>
      <c r="D884" s="13"/>
      <c r="E884" s="27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5"/>
      <c r="B885" s="13"/>
      <c r="C885" s="13"/>
      <c r="D885" s="13"/>
      <c r="E885" s="27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5"/>
      <c r="B886" s="13"/>
      <c r="C886" s="13"/>
      <c r="D886" s="13"/>
      <c r="E886" s="27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5"/>
      <c r="B887" s="13"/>
      <c r="C887" s="13"/>
      <c r="D887" s="13"/>
      <c r="E887" s="27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5"/>
      <c r="B888" s="13"/>
      <c r="C888" s="13"/>
      <c r="D888" s="13"/>
      <c r="E888" s="27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5"/>
      <c r="B889" s="13"/>
      <c r="C889" s="13"/>
      <c r="D889" s="13"/>
      <c r="E889" s="27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5"/>
      <c r="B890" s="13"/>
      <c r="C890" s="13"/>
      <c r="D890" s="13"/>
      <c r="E890" s="27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5"/>
      <c r="B891" s="13"/>
      <c r="C891" s="13"/>
      <c r="D891" s="13"/>
      <c r="E891" s="27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5"/>
      <c r="B892" s="13"/>
      <c r="C892" s="13"/>
      <c r="D892" s="13"/>
      <c r="E892" s="27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5"/>
      <c r="B893" s="13"/>
      <c r="C893" s="13"/>
      <c r="D893" s="13"/>
      <c r="E893" s="27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5"/>
      <c r="B894" s="13"/>
      <c r="C894" s="13"/>
      <c r="D894" s="13"/>
      <c r="E894" s="27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5"/>
      <c r="B895" s="13"/>
      <c r="C895" s="13"/>
      <c r="D895" s="13"/>
      <c r="E895" s="27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5"/>
      <c r="B896" s="13"/>
      <c r="C896" s="13"/>
      <c r="D896" s="13"/>
      <c r="E896" s="27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5"/>
      <c r="B897" s="13"/>
      <c r="C897" s="13"/>
      <c r="D897" s="13"/>
      <c r="E897" s="27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5"/>
      <c r="B898" s="13"/>
      <c r="C898" s="13"/>
      <c r="D898" s="13"/>
      <c r="E898" s="27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5"/>
      <c r="B899" s="13"/>
      <c r="C899" s="13"/>
      <c r="D899" s="13"/>
      <c r="E899" s="27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5"/>
      <c r="B900" s="13"/>
      <c r="C900" s="13"/>
      <c r="D900" s="13"/>
      <c r="E900" s="27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5"/>
      <c r="B901" s="13"/>
      <c r="C901" s="13"/>
      <c r="D901" s="13"/>
      <c r="E901" s="27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5"/>
      <c r="B902" s="13"/>
      <c r="C902" s="13"/>
      <c r="D902" s="13"/>
      <c r="E902" s="27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5"/>
      <c r="B903" s="13"/>
      <c r="C903" s="13"/>
      <c r="D903" s="13"/>
      <c r="E903" s="27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5"/>
      <c r="B904" s="13"/>
      <c r="C904" s="13"/>
      <c r="D904" s="13"/>
      <c r="E904" s="27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5"/>
      <c r="B905" s="13"/>
      <c r="C905" s="13"/>
      <c r="D905" s="13"/>
      <c r="E905" s="27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5"/>
      <c r="B906" s="13"/>
      <c r="C906" s="13"/>
      <c r="D906" s="13"/>
      <c r="E906" s="27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5"/>
      <c r="B907" s="13"/>
      <c r="C907" s="13"/>
      <c r="D907" s="13"/>
      <c r="E907" s="27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5"/>
      <c r="B908" s="13"/>
      <c r="C908" s="13"/>
      <c r="D908" s="13"/>
      <c r="E908" s="27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5"/>
      <c r="B909" s="13"/>
      <c r="C909" s="13"/>
      <c r="D909" s="13"/>
      <c r="E909" s="27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5"/>
      <c r="B910" s="13"/>
      <c r="C910" s="13"/>
      <c r="D910" s="13"/>
      <c r="E910" s="27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5"/>
      <c r="B911" s="13"/>
      <c r="C911" s="13"/>
      <c r="D911" s="13"/>
      <c r="E911" s="27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5"/>
      <c r="B912" s="13"/>
      <c r="C912" s="13"/>
      <c r="D912" s="13"/>
      <c r="E912" s="27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5"/>
      <c r="B913" s="13"/>
      <c r="C913" s="13"/>
      <c r="D913" s="13"/>
      <c r="E913" s="27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5"/>
      <c r="B914" s="13"/>
      <c r="C914" s="13"/>
      <c r="D914" s="13"/>
      <c r="E914" s="27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5"/>
      <c r="B915" s="13"/>
      <c r="C915" s="13"/>
      <c r="D915" s="13"/>
      <c r="E915" s="27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5"/>
      <c r="B916" s="13"/>
      <c r="C916" s="13"/>
      <c r="D916" s="13"/>
      <c r="E916" s="27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5"/>
      <c r="B917" s="13"/>
      <c r="C917" s="13"/>
      <c r="D917" s="13"/>
      <c r="E917" s="27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5"/>
      <c r="B918" s="13"/>
      <c r="C918" s="13"/>
      <c r="D918" s="13"/>
      <c r="E918" s="27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5"/>
      <c r="B919" s="13"/>
      <c r="C919" s="13"/>
      <c r="D919" s="13"/>
      <c r="E919" s="27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5"/>
      <c r="B920" s="13"/>
      <c r="C920" s="13"/>
      <c r="D920" s="13"/>
      <c r="E920" s="27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5"/>
      <c r="B921" s="13"/>
      <c r="C921" s="13"/>
      <c r="D921" s="13"/>
      <c r="E921" s="27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5"/>
      <c r="B922" s="13"/>
      <c r="C922" s="13"/>
      <c r="D922" s="13"/>
      <c r="E922" s="27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5"/>
      <c r="B923" s="13"/>
      <c r="C923" s="13"/>
      <c r="D923" s="13"/>
      <c r="E923" s="27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5"/>
      <c r="B924" s="13"/>
      <c r="C924" s="13"/>
      <c r="D924" s="13"/>
      <c r="E924" s="27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5"/>
      <c r="B925" s="13"/>
      <c r="C925" s="13"/>
      <c r="D925" s="13"/>
      <c r="E925" s="27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5"/>
      <c r="B926" s="13"/>
      <c r="C926" s="13"/>
      <c r="D926" s="13"/>
      <c r="E926" s="27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5"/>
      <c r="B927" s="13"/>
      <c r="C927" s="13"/>
      <c r="D927" s="13"/>
      <c r="E927" s="27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5"/>
      <c r="B928" s="13"/>
      <c r="C928" s="13"/>
      <c r="D928" s="13"/>
      <c r="E928" s="27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5"/>
      <c r="B929" s="13"/>
      <c r="C929" s="13"/>
      <c r="D929" s="13"/>
      <c r="E929" s="27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5"/>
      <c r="B930" s="13"/>
      <c r="C930" s="13"/>
      <c r="D930" s="13"/>
      <c r="E930" s="27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5"/>
      <c r="B931" s="13"/>
      <c r="C931" s="13"/>
      <c r="D931" s="13"/>
      <c r="E931" s="27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5"/>
      <c r="B932" s="13"/>
      <c r="C932" s="13"/>
      <c r="D932" s="13"/>
      <c r="E932" s="27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5"/>
      <c r="B933" s="13"/>
      <c r="C933" s="13"/>
      <c r="D933" s="13"/>
      <c r="E933" s="27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5"/>
      <c r="B934" s="13"/>
      <c r="C934" s="13"/>
      <c r="D934" s="13"/>
      <c r="E934" s="27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5"/>
      <c r="B935" s="13"/>
      <c r="C935" s="13"/>
      <c r="D935" s="13"/>
      <c r="E935" s="27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5"/>
      <c r="B936" s="13"/>
      <c r="C936" s="13"/>
      <c r="D936" s="13"/>
      <c r="E936" s="27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5"/>
      <c r="B937" s="13"/>
      <c r="C937" s="13"/>
      <c r="D937" s="13"/>
      <c r="E937" s="27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5"/>
      <c r="B938" s="13"/>
      <c r="C938" s="13"/>
      <c r="D938" s="13"/>
      <c r="E938" s="27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5"/>
      <c r="B939" s="13"/>
      <c r="C939" s="13"/>
      <c r="D939" s="13"/>
      <c r="E939" s="27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5"/>
      <c r="B940" s="13"/>
      <c r="C940" s="13"/>
      <c r="D940" s="13"/>
      <c r="E940" s="27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5"/>
      <c r="B941" s="13"/>
      <c r="C941" s="13"/>
      <c r="D941" s="13"/>
      <c r="E941" s="27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5"/>
      <c r="B942" s="13"/>
      <c r="C942" s="13"/>
      <c r="D942" s="13"/>
      <c r="E942" s="27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5"/>
      <c r="B943" s="13"/>
      <c r="C943" s="13"/>
      <c r="D943" s="13"/>
      <c r="E943" s="27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5"/>
      <c r="B944" s="13"/>
      <c r="C944" s="13"/>
      <c r="D944" s="13"/>
      <c r="E944" s="27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5"/>
      <c r="B945" s="13"/>
      <c r="C945" s="13"/>
      <c r="D945" s="13"/>
      <c r="E945" s="27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5"/>
      <c r="B946" s="13"/>
      <c r="C946" s="13"/>
      <c r="D946" s="13"/>
      <c r="E946" s="27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5"/>
      <c r="B947" s="13"/>
      <c r="C947" s="13"/>
      <c r="D947" s="13"/>
      <c r="E947" s="27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5"/>
      <c r="B948" s="13"/>
      <c r="C948" s="13"/>
      <c r="D948" s="13"/>
      <c r="E948" s="27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5"/>
      <c r="B949" s="13"/>
      <c r="C949" s="13"/>
      <c r="D949" s="13"/>
      <c r="E949" s="27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5"/>
      <c r="B950" s="13"/>
      <c r="C950" s="13"/>
      <c r="D950" s="13"/>
      <c r="E950" s="27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5"/>
      <c r="B951" s="13"/>
      <c r="C951" s="13"/>
      <c r="D951" s="13"/>
      <c r="E951" s="27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5"/>
      <c r="B952" s="13"/>
      <c r="C952" s="13"/>
      <c r="D952" s="13"/>
      <c r="E952" s="27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5"/>
      <c r="B953" s="13"/>
      <c r="C953" s="13"/>
      <c r="D953" s="13"/>
      <c r="E953" s="27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5"/>
      <c r="B954" s="13"/>
      <c r="C954" s="13"/>
      <c r="D954" s="13"/>
      <c r="E954" s="27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5"/>
      <c r="B955" s="13"/>
      <c r="C955" s="13"/>
      <c r="D955" s="13"/>
      <c r="E955" s="27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5"/>
      <c r="B956" s="13"/>
      <c r="C956" s="13"/>
      <c r="D956" s="13"/>
      <c r="E956" s="27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5"/>
      <c r="B957" s="13"/>
      <c r="C957" s="13"/>
      <c r="D957" s="13"/>
      <c r="E957" s="27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5"/>
      <c r="B958" s="13"/>
      <c r="C958" s="13"/>
      <c r="D958" s="13"/>
      <c r="E958" s="27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5"/>
      <c r="B959" s="13"/>
      <c r="C959" s="13"/>
      <c r="D959" s="13"/>
      <c r="E959" s="27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5"/>
      <c r="B960" s="13"/>
      <c r="C960" s="13"/>
      <c r="D960" s="13"/>
      <c r="E960" s="27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5"/>
      <c r="B961" s="13"/>
      <c r="C961" s="13"/>
      <c r="D961" s="13"/>
      <c r="E961" s="27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5"/>
      <c r="B962" s="13"/>
      <c r="C962" s="13"/>
      <c r="D962" s="13"/>
      <c r="E962" s="27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5"/>
      <c r="B963" s="13"/>
      <c r="C963" s="13"/>
      <c r="D963" s="13"/>
      <c r="E963" s="27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5"/>
      <c r="B964" s="13"/>
      <c r="C964" s="13"/>
      <c r="D964" s="13"/>
      <c r="E964" s="27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5"/>
      <c r="B965" s="13"/>
      <c r="C965" s="13"/>
      <c r="D965" s="13"/>
      <c r="E965" s="27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5"/>
      <c r="B966" s="13"/>
      <c r="C966" s="13"/>
      <c r="D966" s="13"/>
      <c r="E966" s="27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5"/>
      <c r="B967" s="13"/>
      <c r="C967" s="13"/>
      <c r="D967" s="13"/>
      <c r="E967" s="27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5"/>
      <c r="B968" s="13"/>
      <c r="C968" s="13"/>
      <c r="D968" s="13"/>
      <c r="E968" s="27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5"/>
      <c r="B969" s="13"/>
      <c r="C969" s="13"/>
      <c r="D969" s="13"/>
      <c r="E969" s="27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5"/>
      <c r="B970" s="13"/>
      <c r="C970" s="13"/>
      <c r="D970" s="13"/>
      <c r="E970" s="27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5"/>
      <c r="B971" s="13"/>
      <c r="C971" s="13"/>
      <c r="D971" s="13"/>
      <c r="E971" s="27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5"/>
      <c r="B972" s="13"/>
      <c r="C972" s="13"/>
      <c r="D972" s="13"/>
      <c r="E972" s="27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5"/>
      <c r="B973" s="13"/>
      <c r="C973" s="13"/>
      <c r="D973" s="13"/>
      <c r="E973" s="27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5"/>
      <c r="B974" s="13"/>
      <c r="C974" s="13"/>
      <c r="D974" s="13"/>
      <c r="E974" s="27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5"/>
      <c r="B975" s="13"/>
      <c r="C975" s="13"/>
      <c r="D975" s="13"/>
      <c r="E975" s="27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5"/>
      <c r="B976" s="13"/>
      <c r="C976" s="13"/>
      <c r="D976" s="13"/>
      <c r="E976" s="27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5"/>
      <c r="B977" s="13"/>
      <c r="C977" s="13"/>
      <c r="D977" s="13"/>
      <c r="E977" s="27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5"/>
      <c r="B978" s="13"/>
      <c r="C978" s="13"/>
      <c r="D978" s="13"/>
      <c r="E978" s="27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5"/>
      <c r="B979" s="13"/>
      <c r="C979" s="13"/>
      <c r="D979" s="13"/>
      <c r="E979" s="27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5"/>
      <c r="B980" s="13"/>
      <c r="C980" s="13"/>
      <c r="D980" s="13"/>
      <c r="E980" s="27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5"/>
      <c r="B981" s="13"/>
      <c r="C981" s="13"/>
      <c r="D981" s="13"/>
      <c r="E981" s="27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5"/>
      <c r="B982" s="13"/>
      <c r="C982" s="13"/>
      <c r="D982" s="13"/>
      <c r="E982" s="27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5"/>
      <c r="B983" s="13"/>
      <c r="C983" s="13"/>
      <c r="D983" s="13"/>
      <c r="E983" s="27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5"/>
      <c r="B984" s="13"/>
      <c r="C984" s="13"/>
      <c r="D984" s="13"/>
      <c r="E984" s="27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5"/>
      <c r="B985" s="13"/>
      <c r="C985" s="13"/>
      <c r="D985" s="13"/>
      <c r="E985" s="27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5"/>
      <c r="B986" s="13"/>
      <c r="C986" s="13"/>
      <c r="D986" s="13"/>
      <c r="E986" s="27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5"/>
      <c r="B987" s="13"/>
      <c r="C987" s="13"/>
      <c r="D987" s="13"/>
      <c r="E987" s="27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5"/>
      <c r="B988" s="13"/>
      <c r="C988" s="13"/>
      <c r="D988" s="13"/>
      <c r="E988" s="27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5"/>
      <c r="B989" s="13"/>
      <c r="C989" s="13"/>
      <c r="D989" s="13"/>
      <c r="E989" s="27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5"/>
      <c r="B990" s="13"/>
      <c r="C990" s="13"/>
      <c r="D990" s="13"/>
      <c r="E990" s="27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5"/>
      <c r="B991" s="13"/>
      <c r="C991" s="13"/>
      <c r="D991" s="13"/>
      <c r="E991" s="27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5"/>
      <c r="B992" s="13"/>
      <c r="C992" s="13"/>
      <c r="D992" s="13"/>
      <c r="E992" s="27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5"/>
      <c r="B993" s="13"/>
      <c r="C993" s="13"/>
      <c r="D993" s="13"/>
      <c r="E993" s="27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5"/>
      <c r="B994" s="13"/>
      <c r="C994" s="13"/>
      <c r="D994" s="13"/>
      <c r="E994" s="27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5"/>
      <c r="B995" s="13"/>
      <c r="C995" s="13"/>
      <c r="D995" s="13"/>
      <c r="E995" s="27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5"/>
      <c r="B996" s="13"/>
      <c r="C996" s="13"/>
      <c r="D996" s="13"/>
      <c r="E996" s="27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5"/>
      <c r="B997" s="13"/>
      <c r="C997" s="13"/>
      <c r="D997" s="13"/>
      <c r="E997" s="27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5"/>
      <c r="B998" s="13"/>
      <c r="C998" s="13"/>
      <c r="D998" s="13"/>
      <c r="E998" s="27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5"/>
      <c r="B999" s="13"/>
      <c r="C999" s="13"/>
      <c r="D999" s="13"/>
      <c r="E999" s="27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5"/>
      <c r="B1000" s="13"/>
      <c r="C1000" s="13"/>
      <c r="D1000" s="13"/>
      <c r="E1000" s="27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2 D8:D1000">
    <cfRule type="cellIs" dxfId="11" priority="1" operator="equal">
      <formula>"پرداخت"</formula>
    </cfRule>
  </conditionalFormatting>
  <conditionalFormatting sqref="D1:D2 D8:D1000">
    <cfRule type="cellIs" dxfId="10" priority="2" operator="equal">
      <formula>"برداشت"</formula>
    </cfRule>
  </conditionalFormatting>
  <conditionalFormatting sqref="D3:D7">
    <cfRule type="cellIs" dxfId="9" priority="3" operator="equal">
      <formula>"پرداخت"</formula>
    </cfRule>
  </conditionalFormatting>
  <conditionalFormatting sqref="D3:D7">
    <cfRule type="cellIs" dxfId="8" priority="4" operator="equal">
      <formula>"برداشت"</formula>
    </cfRule>
  </conditionalFormatting>
  <conditionalFormatting sqref="J8:J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500-000000000000}">
      <formula1>"داود,محمد,امید"</formula1>
    </dataValidation>
    <dataValidation type="list" allowBlank="1" sqref="D3:D35" xr:uid="{00000000-0002-0000-0500-000001000000}">
      <formula1>"برداشت,پرداخت"</formula1>
    </dataValidation>
  </dataValidations>
  <pageMargins left="0.7" right="0.7" top="0.75" bottom="0.75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Z1000"/>
  <sheetViews>
    <sheetView workbookViewId="0">
      <selection activeCell="B16" sqref="B16"/>
    </sheetView>
  </sheetViews>
  <sheetFormatPr defaultColWidth="12.625" defaultRowHeight="15" customHeight="1"/>
  <cols>
    <col min="1" max="1" width="12.625" style="111"/>
    <col min="2" max="2" width="54.625" style="111" customWidth="1"/>
    <col min="3" max="8" width="12.625" style="111"/>
    <col min="9" max="9" width="18.375" style="111" customWidth="1"/>
    <col min="10" max="10" width="14.75" style="111" customWidth="1"/>
    <col min="11" max="16384" width="12.625" style="111"/>
  </cols>
  <sheetData>
    <row r="1" spans="1:26" ht="15" customHeight="1">
      <c r="A1" s="118" t="s">
        <v>262</v>
      </c>
      <c r="B1" s="113"/>
      <c r="C1" s="113"/>
      <c r="D1" s="113"/>
      <c r="E1" s="113"/>
      <c r="F1" s="113"/>
      <c r="G1" s="113"/>
      <c r="H1" s="113"/>
      <c r="I1" s="113"/>
      <c r="J1" s="114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ht="15" customHeight="1">
      <c r="A3" s="103" t="s">
        <v>280</v>
      </c>
      <c r="B3" s="32" t="s">
        <v>281</v>
      </c>
      <c r="C3" s="33">
        <v>50000000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-50000000</v>
      </c>
      <c r="I3" s="124" t="s">
        <v>23</v>
      </c>
      <c r="J3" s="12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ht="15" customHeight="1">
      <c r="A4" s="103" t="s">
        <v>280</v>
      </c>
      <c r="B4" s="32" t="s">
        <v>285</v>
      </c>
      <c r="C4" s="33">
        <v>50000000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-50000000</v>
      </c>
      <c r="H4" s="34">
        <f t="shared" si="2"/>
        <v>0</v>
      </c>
      <c r="I4" s="36" t="s">
        <v>9</v>
      </c>
      <c r="J4" s="37">
        <f>Sheet6!J4+Sheet6!J8</f>
        <v>222865434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ht="15" customHeight="1">
      <c r="A5" s="103" t="s">
        <v>280</v>
      </c>
      <c r="B5" s="32" t="s">
        <v>286</v>
      </c>
      <c r="C5" s="33">
        <v>30000000</v>
      </c>
      <c r="D5" s="32" t="s">
        <v>19</v>
      </c>
      <c r="E5" s="32" t="s">
        <v>9</v>
      </c>
      <c r="F5" s="34">
        <f t="shared" si="0"/>
        <v>-30000000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Sheet6!J5+Sheet6!J9</f>
        <v>999264700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ht="15" customHeight="1">
      <c r="A6" s="103" t="s">
        <v>289</v>
      </c>
      <c r="B6" s="32" t="s">
        <v>290</v>
      </c>
      <c r="C6" s="33">
        <v>500000</v>
      </c>
      <c r="D6" s="32" t="s">
        <v>31</v>
      </c>
      <c r="E6" s="32" t="s">
        <v>10</v>
      </c>
      <c r="F6" s="34">
        <f t="shared" si="0"/>
        <v>0</v>
      </c>
      <c r="G6" s="35">
        <f t="shared" si="1"/>
        <v>500000</v>
      </c>
      <c r="H6" s="34">
        <f t="shared" si="2"/>
        <v>0</v>
      </c>
      <c r="I6" s="36" t="s">
        <v>11</v>
      </c>
      <c r="J6" s="37">
        <f>Sheet6!J6+Sheet6!J10</f>
        <v>945145500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ht="15" customHeight="1">
      <c r="A7" s="103" t="s">
        <v>291</v>
      </c>
      <c r="B7" s="32" t="s">
        <v>292</v>
      </c>
      <c r="C7" s="33">
        <v>30000000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-30000000</v>
      </c>
      <c r="H7" s="34">
        <f t="shared" si="2"/>
        <v>0</v>
      </c>
      <c r="I7" s="126" t="s">
        <v>52</v>
      </c>
      <c r="J7" s="127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ht="15" customHeight="1">
      <c r="A8" s="103" t="s">
        <v>291</v>
      </c>
      <c r="B8" s="32" t="s">
        <v>293</v>
      </c>
      <c r="C8" s="33">
        <v>30000000</v>
      </c>
      <c r="D8" s="32" t="s">
        <v>19</v>
      </c>
      <c r="E8" s="32" t="s">
        <v>11</v>
      </c>
      <c r="F8" s="34">
        <f t="shared" si="0"/>
        <v>0</v>
      </c>
      <c r="G8" s="35">
        <f t="shared" si="1"/>
        <v>0</v>
      </c>
      <c r="H8" s="34">
        <f t="shared" si="2"/>
        <v>-30000000</v>
      </c>
      <c r="I8" s="39" t="s">
        <v>22</v>
      </c>
      <c r="J8" s="40">
        <f>SUM(F3:F501)</f>
        <v>-37845930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ht="15" customHeight="1">
      <c r="A9" s="103" t="s">
        <v>294</v>
      </c>
      <c r="B9" s="32" t="s">
        <v>295</v>
      </c>
      <c r="C9" s="33">
        <v>500300</v>
      </c>
      <c r="D9" s="32" t="s">
        <v>31</v>
      </c>
      <c r="E9" s="32" t="s">
        <v>10</v>
      </c>
      <c r="F9" s="34">
        <f t="shared" si="0"/>
        <v>0</v>
      </c>
      <c r="G9" s="35">
        <f t="shared" si="1"/>
        <v>500300</v>
      </c>
      <c r="H9" s="34">
        <f t="shared" si="2"/>
        <v>0</v>
      </c>
      <c r="I9" s="39" t="s">
        <v>27</v>
      </c>
      <c r="J9" s="40">
        <f>SUM(G3:G501)</f>
        <v>-58997700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ht="15" customHeight="1">
      <c r="A10" s="103" t="s">
        <v>296</v>
      </c>
      <c r="B10" s="32" t="s">
        <v>297</v>
      </c>
      <c r="C10" s="33">
        <v>20002000</v>
      </c>
      <c r="D10" s="32" t="s">
        <v>31</v>
      </c>
      <c r="E10" s="32" t="s">
        <v>10</v>
      </c>
      <c r="F10" s="34">
        <f t="shared" si="0"/>
        <v>0</v>
      </c>
      <c r="G10" s="35">
        <f t="shared" si="1"/>
        <v>20002000</v>
      </c>
      <c r="H10" s="34">
        <f t="shared" si="2"/>
        <v>0</v>
      </c>
      <c r="I10" s="39" t="s">
        <v>32</v>
      </c>
      <c r="J10" s="40">
        <f>SUM(H3:H501)</f>
        <v>-79718000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5" customHeight="1">
      <c r="A11" s="103" t="s">
        <v>298</v>
      </c>
      <c r="B11" s="32" t="s">
        <v>299</v>
      </c>
      <c r="C11" s="33">
        <v>120000</v>
      </c>
      <c r="D11" s="32" t="s">
        <v>19</v>
      </c>
      <c r="E11" s="32" t="s">
        <v>9</v>
      </c>
      <c r="F11" s="34">
        <f t="shared" si="0"/>
        <v>-120000</v>
      </c>
      <c r="G11" s="35">
        <f t="shared" si="1"/>
        <v>0</v>
      </c>
      <c r="H11" s="34">
        <f t="shared" si="2"/>
        <v>0</v>
      </c>
      <c r="I11" s="32"/>
      <c r="J11" s="3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>
      <c r="A12" s="103" t="s">
        <v>300</v>
      </c>
      <c r="B12" s="32" t="s">
        <v>301</v>
      </c>
      <c r="C12" s="33">
        <v>7575930</v>
      </c>
      <c r="D12" s="32" t="s">
        <v>19</v>
      </c>
      <c r="E12" s="32" t="s">
        <v>9</v>
      </c>
      <c r="F12" s="34">
        <f t="shared" si="0"/>
        <v>-7575930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ht="15" customHeight="1">
      <c r="A13" s="103" t="s">
        <v>302</v>
      </c>
      <c r="B13" s="32" t="s">
        <v>303</v>
      </c>
      <c r="C13" s="33">
        <v>150000</v>
      </c>
      <c r="D13" s="32" t="s">
        <v>19</v>
      </c>
      <c r="E13" s="32" t="s">
        <v>9</v>
      </c>
      <c r="F13" s="34">
        <f t="shared" si="0"/>
        <v>-150000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ht="15" customHeight="1">
      <c r="A14" s="103" t="s">
        <v>304</v>
      </c>
      <c r="B14" s="32" t="s">
        <v>305</v>
      </c>
      <c r="C14" s="33">
        <v>100000</v>
      </c>
      <c r="D14" s="32" t="s">
        <v>31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100000</v>
      </c>
      <c r="I14" s="41" t="s">
        <v>57</v>
      </c>
      <c r="J14" s="42">
        <f>(J9+J5)- MIN(J8+J4,J9+J5,J10+J6)</f>
        <v>755247496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ht="15" customHeight="1">
      <c r="A15" s="103" t="s">
        <v>306</v>
      </c>
      <c r="B15" s="32" t="s">
        <v>307</v>
      </c>
      <c r="C15" s="33">
        <v>182000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182000</v>
      </c>
      <c r="I15" s="41" t="s">
        <v>63</v>
      </c>
      <c r="J15" s="42">
        <f>(J10+J6)- MIN(J8+J4,J9+J5,J10+J6)</f>
        <v>680407996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ht="15.75" customHeight="1">
      <c r="A36" s="46"/>
      <c r="B36" s="46"/>
      <c r="C36" s="107"/>
      <c r="D36" s="108"/>
      <c r="E36" s="46"/>
      <c r="F36" s="107"/>
      <c r="G36" s="107"/>
      <c r="H36" s="107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ht="15.75" customHeight="1">
      <c r="A37" s="46"/>
      <c r="B37" s="46"/>
      <c r="C37" s="107"/>
      <c r="D37" s="108"/>
      <c r="E37" s="46"/>
      <c r="F37" s="107"/>
      <c r="G37" s="107"/>
      <c r="H37" s="107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ht="15.75" customHeight="1">
      <c r="A38" s="46"/>
      <c r="B38" s="46"/>
      <c r="C38" s="107"/>
      <c r="D38" s="108"/>
      <c r="E38" s="46"/>
      <c r="F38" s="107"/>
      <c r="G38" s="107"/>
      <c r="H38" s="107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ht="15.75" customHeight="1">
      <c r="A39" s="46"/>
      <c r="B39" s="46"/>
      <c r="C39" s="107"/>
      <c r="D39" s="108"/>
      <c r="E39" s="46"/>
      <c r="F39" s="107"/>
      <c r="G39" s="107"/>
      <c r="H39" s="107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ht="15.75" customHeight="1">
      <c r="A40" s="46"/>
      <c r="B40" s="46"/>
      <c r="C40" s="107"/>
      <c r="D40" s="108"/>
      <c r="E40" s="46"/>
      <c r="F40" s="107"/>
      <c r="G40" s="107"/>
      <c r="H40" s="107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15.75" customHeight="1">
      <c r="A41" s="46"/>
      <c r="B41" s="46"/>
      <c r="C41" s="107"/>
      <c r="D41" s="108"/>
      <c r="E41" s="46"/>
      <c r="F41" s="107"/>
      <c r="G41" s="107"/>
      <c r="H41" s="107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ht="15.75" customHeight="1">
      <c r="A42" s="46"/>
      <c r="B42" s="46"/>
      <c r="C42" s="107"/>
      <c r="D42" s="108"/>
      <c r="E42" s="46"/>
      <c r="F42" s="107"/>
      <c r="G42" s="107"/>
      <c r="H42" s="107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ht="15.75" customHeight="1">
      <c r="A43" s="46"/>
      <c r="B43" s="46"/>
      <c r="C43" s="107"/>
      <c r="D43" s="108"/>
      <c r="E43" s="46"/>
      <c r="F43" s="107"/>
      <c r="G43" s="107"/>
      <c r="H43" s="107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ht="15.75" customHeight="1">
      <c r="A44" s="46"/>
      <c r="B44" s="46"/>
      <c r="C44" s="107"/>
      <c r="D44" s="108"/>
      <c r="E44" s="46"/>
      <c r="F44" s="107"/>
      <c r="G44" s="107"/>
      <c r="H44" s="107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ht="15.75" customHeight="1">
      <c r="A45" s="46"/>
      <c r="B45" s="46"/>
      <c r="C45" s="107"/>
      <c r="D45" s="108"/>
      <c r="E45" s="46"/>
      <c r="F45" s="107"/>
      <c r="G45" s="107"/>
      <c r="H45" s="107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ht="15.75" customHeight="1">
      <c r="A46" s="46"/>
      <c r="B46" s="46"/>
      <c r="C46" s="107"/>
      <c r="D46" s="108"/>
      <c r="E46" s="46"/>
      <c r="F46" s="107"/>
      <c r="G46" s="107"/>
      <c r="H46" s="107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ht="15.75" customHeight="1">
      <c r="A47" s="46"/>
      <c r="B47" s="46"/>
      <c r="C47" s="107"/>
      <c r="D47" s="108"/>
      <c r="E47" s="46"/>
      <c r="F47" s="107"/>
      <c r="G47" s="107"/>
      <c r="H47" s="107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ht="15.75" customHeight="1">
      <c r="A48" s="46"/>
      <c r="B48" s="46"/>
      <c r="C48" s="107"/>
      <c r="D48" s="108"/>
      <c r="E48" s="46"/>
      <c r="F48" s="107"/>
      <c r="G48" s="107"/>
      <c r="H48" s="107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ht="15.75" customHeight="1">
      <c r="A49" s="46"/>
      <c r="B49" s="46"/>
      <c r="C49" s="107"/>
      <c r="D49" s="108"/>
      <c r="E49" s="46"/>
      <c r="F49" s="107"/>
      <c r="G49" s="107"/>
      <c r="H49" s="107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ht="15.75" customHeight="1">
      <c r="A50" s="46"/>
      <c r="B50" s="46"/>
      <c r="C50" s="107"/>
      <c r="D50" s="108"/>
      <c r="E50" s="46"/>
      <c r="F50" s="107"/>
      <c r="G50" s="107"/>
      <c r="H50" s="10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ht="15.75" customHeight="1">
      <c r="A51" s="46"/>
      <c r="B51" s="46"/>
      <c r="C51" s="107"/>
      <c r="D51" s="108"/>
      <c r="E51" s="46"/>
      <c r="F51" s="107"/>
      <c r="G51" s="107"/>
      <c r="H51" s="10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ht="15.75" customHeight="1">
      <c r="A52" s="46"/>
      <c r="B52" s="46"/>
      <c r="C52" s="107"/>
      <c r="D52" s="108"/>
      <c r="E52" s="46"/>
      <c r="F52" s="107"/>
      <c r="G52" s="107"/>
      <c r="H52" s="107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ht="15.75" customHeight="1">
      <c r="A53" s="46"/>
      <c r="B53" s="46"/>
      <c r="C53" s="107"/>
      <c r="D53" s="108"/>
      <c r="E53" s="46"/>
      <c r="F53" s="107"/>
      <c r="G53" s="107"/>
      <c r="H53" s="107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ht="15.75" customHeight="1">
      <c r="A54" s="46"/>
      <c r="B54" s="46"/>
      <c r="C54" s="107"/>
      <c r="D54" s="108"/>
      <c r="E54" s="46"/>
      <c r="F54" s="107"/>
      <c r="G54" s="107"/>
      <c r="H54" s="107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ht="15.75" customHeight="1">
      <c r="A55" s="46"/>
      <c r="B55" s="46"/>
      <c r="C55" s="107"/>
      <c r="D55" s="108"/>
      <c r="E55" s="46"/>
      <c r="F55" s="107"/>
      <c r="G55" s="107"/>
      <c r="H55" s="107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ht="15.75" customHeight="1">
      <c r="A56" s="46"/>
      <c r="B56" s="46"/>
      <c r="C56" s="107"/>
      <c r="D56" s="108"/>
      <c r="E56" s="46"/>
      <c r="F56" s="107"/>
      <c r="G56" s="107"/>
      <c r="H56" s="107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ht="15.75" customHeight="1">
      <c r="A57" s="46"/>
      <c r="B57" s="46"/>
      <c r="C57" s="107"/>
      <c r="D57" s="108"/>
      <c r="E57" s="46"/>
      <c r="F57" s="107"/>
      <c r="G57" s="107"/>
      <c r="H57" s="107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ht="15.75" customHeight="1">
      <c r="A58" s="46"/>
      <c r="B58" s="46"/>
      <c r="C58" s="107"/>
      <c r="D58" s="108"/>
      <c r="E58" s="46"/>
      <c r="F58" s="107"/>
      <c r="G58" s="107"/>
      <c r="H58" s="107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ht="15.75" customHeight="1">
      <c r="A59" s="46"/>
      <c r="B59" s="46"/>
      <c r="C59" s="107"/>
      <c r="D59" s="108"/>
      <c r="E59" s="46"/>
      <c r="F59" s="107"/>
      <c r="G59" s="107"/>
      <c r="H59" s="107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ht="15.75" customHeight="1">
      <c r="A60" s="46"/>
      <c r="B60" s="46"/>
      <c r="C60" s="107"/>
      <c r="D60" s="108"/>
      <c r="E60" s="46"/>
      <c r="F60" s="107"/>
      <c r="G60" s="107"/>
      <c r="H60" s="107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ht="15.75" customHeight="1">
      <c r="A61" s="46"/>
      <c r="B61" s="46"/>
      <c r="C61" s="107"/>
      <c r="D61" s="108"/>
      <c r="E61" s="46"/>
      <c r="F61" s="107"/>
      <c r="G61" s="107"/>
      <c r="H61" s="107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ht="15.75" customHeight="1">
      <c r="A62" s="46"/>
      <c r="B62" s="46"/>
      <c r="C62" s="107"/>
      <c r="D62" s="108"/>
      <c r="E62" s="46"/>
      <c r="F62" s="107"/>
      <c r="G62" s="107"/>
      <c r="H62" s="107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ht="15.75" customHeight="1">
      <c r="A63" s="46"/>
      <c r="B63" s="46"/>
      <c r="C63" s="107"/>
      <c r="D63" s="108"/>
      <c r="E63" s="46"/>
      <c r="F63" s="107"/>
      <c r="G63" s="107"/>
      <c r="H63" s="107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ht="15.75" customHeight="1">
      <c r="A64" s="46"/>
      <c r="B64" s="46"/>
      <c r="C64" s="107"/>
      <c r="D64" s="108"/>
      <c r="E64" s="46"/>
      <c r="F64" s="107"/>
      <c r="G64" s="107"/>
      <c r="H64" s="107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ht="15.75" customHeight="1">
      <c r="A65" s="46"/>
      <c r="B65" s="46"/>
      <c r="C65" s="107"/>
      <c r="D65" s="108"/>
      <c r="E65" s="46"/>
      <c r="F65" s="107"/>
      <c r="G65" s="107"/>
      <c r="H65" s="107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ht="15.75" customHeight="1">
      <c r="A66" s="46"/>
      <c r="B66" s="46"/>
      <c r="C66" s="107"/>
      <c r="D66" s="108"/>
      <c r="E66" s="46"/>
      <c r="F66" s="107"/>
      <c r="G66" s="107"/>
      <c r="H66" s="107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ht="15.75" customHeight="1">
      <c r="A67" s="46"/>
      <c r="B67" s="46"/>
      <c r="C67" s="107"/>
      <c r="D67" s="108"/>
      <c r="E67" s="46"/>
      <c r="F67" s="107"/>
      <c r="G67" s="107"/>
      <c r="H67" s="107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ht="15.75" customHeight="1">
      <c r="A68" s="46"/>
      <c r="B68" s="46"/>
      <c r="C68" s="107"/>
      <c r="D68" s="108"/>
      <c r="E68" s="46"/>
      <c r="F68" s="107"/>
      <c r="G68" s="107"/>
      <c r="H68" s="107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ht="15.75" customHeight="1">
      <c r="A69" s="46"/>
      <c r="B69" s="46"/>
      <c r="C69" s="107"/>
      <c r="D69" s="108"/>
      <c r="E69" s="46"/>
      <c r="F69" s="107"/>
      <c r="G69" s="107"/>
      <c r="H69" s="107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ht="15.75" customHeight="1">
      <c r="A70" s="46"/>
      <c r="B70" s="46"/>
      <c r="C70" s="107"/>
      <c r="D70" s="108"/>
      <c r="E70" s="46"/>
      <c r="F70" s="107"/>
      <c r="G70" s="107"/>
      <c r="H70" s="107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ht="15.75" customHeight="1">
      <c r="A71" s="46"/>
      <c r="B71" s="46"/>
      <c r="C71" s="107"/>
      <c r="D71" s="108"/>
      <c r="E71" s="46"/>
      <c r="F71" s="107"/>
      <c r="G71" s="107"/>
      <c r="H71" s="107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ht="15.75" customHeight="1">
      <c r="A72" s="46"/>
      <c r="B72" s="46"/>
      <c r="C72" s="107"/>
      <c r="D72" s="108"/>
      <c r="E72" s="46"/>
      <c r="F72" s="107"/>
      <c r="G72" s="107"/>
      <c r="H72" s="107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ht="15.75" customHeight="1">
      <c r="A73" s="46"/>
      <c r="B73" s="46"/>
      <c r="C73" s="107"/>
      <c r="D73" s="108"/>
      <c r="E73" s="46"/>
      <c r="F73" s="107"/>
      <c r="G73" s="107"/>
      <c r="H73" s="107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ht="15.75" customHeight="1">
      <c r="A74" s="46"/>
      <c r="B74" s="46"/>
      <c r="C74" s="107"/>
      <c r="D74" s="108"/>
      <c r="E74" s="46"/>
      <c r="F74" s="107"/>
      <c r="G74" s="107"/>
      <c r="H74" s="107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ht="15.75" customHeight="1">
      <c r="A75" s="46"/>
      <c r="B75" s="46"/>
      <c r="C75" s="107"/>
      <c r="D75" s="108"/>
      <c r="E75" s="46"/>
      <c r="F75" s="107"/>
      <c r="G75" s="107"/>
      <c r="H75" s="107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ht="15.75" customHeight="1">
      <c r="A76" s="46"/>
      <c r="B76" s="46"/>
      <c r="C76" s="107"/>
      <c r="D76" s="108"/>
      <c r="E76" s="46"/>
      <c r="F76" s="107"/>
      <c r="G76" s="107"/>
      <c r="H76" s="107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ht="15.75" customHeight="1">
      <c r="A77" s="46"/>
      <c r="B77" s="46"/>
      <c r="C77" s="107"/>
      <c r="D77" s="108"/>
      <c r="E77" s="46"/>
      <c r="F77" s="107"/>
      <c r="G77" s="107"/>
      <c r="H77" s="107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ht="15.75" customHeight="1">
      <c r="A78" s="46"/>
      <c r="B78" s="46"/>
      <c r="C78" s="107"/>
      <c r="D78" s="108"/>
      <c r="E78" s="46"/>
      <c r="F78" s="107"/>
      <c r="G78" s="107"/>
      <c r="H78" s="107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ht="15.75" customHeight="1">
      <c r="A79" s="46"/>
      <c r="B79" s="46"/>
      <c r="C79" s="107"/>
      <c r="D79" s="108"/>
      <c r="E79" s="46"/>
      <c r="F79" s="107"/>
      <c r="G79" s="107"/>
      <c r="H79" s="107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ht="15.75" customHeight="1">
      <c r="A80" s="46"/>
      <c r="B80" s="46"/>
      <c r="C80" s="107"/>
      <c r="D80" s="108"/>
      <c r="E80" s="46"/>
      <c r="F80" s="107"/>
      <c r="G80" s="107"/>
      <c r="H80" s="107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ht="15.75" customHeight="1">
      <c r="A81" s="46"/>
      <c r="B81" s="46"/>
      <c r="C81" s="107"/>
      <c r="D81" s="108"/>
      <c r="E81" s="46"/>
      <c r="F81" s="107"/>
      <c r="G81" s="107"/>
      <c r="H81" s="107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ht="15.75" customHeight="1">
      <c r="A82" s="46"/>
      <c r="B82" s="46"/>
      <c r="C82" s="107"/>
      <c r="D82" s="108"/>
      <c r="E82" s="46"/>
      <c r="F82" s="107"/>
      <c r="G82" s="107"/>
      <c r="H82" s="107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ht="15.75" customHeight="1">
      <c r="A83" s="46"/>
      <c r="B83" s="46"/>
      <c r="C83" s="107"/>
      <c r="D83" s="108"/>
      <c r="E83" s="46"/>
      <c r="F83" s="107"/>
      <c r="G83" s="107"/>
      <c r="H83" s="107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ht="15.75" customHeight="1">
      <c r="A84" s="46"/>
      <c r="B84" s="46"/>
      <c r="C84" s="107"/>
      <c r="D84" s="108"/>
      <c r="E84" s="46"/>
      <c r="F84" s="107"/>
      <c r="G84" s="107"/>
      <c r="H84" s="107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ht="15.75" customHeight="1">
      <c r="A85" s="46"/>
      <c r="B85" s="46"/>
      <c r="C85" s="107"/>
      <c r="D85" s="108"/>
      <c r="E85" s="46"/>
      <c r="F85" s="107"/>
      <c r="G85" s="107"/>
      <c r="H85" s="107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ht="15.75" customHeight="1">
      <c r="A86" s="46"/>
      <c r="B86" s="46"/>
      <c r="C86" s="107"/>
      <c r="D86" s="108"/>
      <c r="E86" s="46"/>
      <c r="F86" s="107"/>
      <c r="G86" s="107"/>
      <c r="H86" s="107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ht="15.75" customHeight="1">
      <c r="A87" s="46"/>
      <c r="B87" s="46"/>
      <c r="C87" s="107"/>
      <c r="D87" s="108"/>
      <c r="E87" s="46"/>
      <c r="F87" s="107"/>
      <c r="G87" s="107"/>
      <c r="H87" s="107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ht="15.75" customHeight="1">
      <c r="A88" s="46"/>
      <c r="B88" s="46"/>
      <c r="C88" s="107"/>
      <c r="D88" s="108"/>
      <c r="E88" s="46"/>
      <c r="F88" s="107"/>
      <c r="G88" s="107"/>
      <c r="H88" s="107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ht="15.75" customHeight="1">
      <c r="A89" s="46"/>
      <c r="B89" s="46"/>
      <c r="C89" s="107"/>
      <c r="D89" s="108"/>
      <c r="E89" s="46"/>
      <c r="F89" s="107"/>
      <c r="G89" s="107"/>
      <c r="H89" s="107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ht="15.75" customHeight="1">
      <c r="A90" s="46"/>
      <c r="B90" s="46"/>
      <c r="C90" s="107"/>
      <c r="D90" s="108"/>
      <c r="E90" s="46"/>
      <c r="F90" s="107"/>
      <c r="G90" s="107"/>
      <c r="H90" s="107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ht="15.75" customHeight="1">
      <c r="A91" s="46"/>
      <c r="B91" s="46"/>
      <c r="C91" s="107"/>
      <c r="D91" s="108"/>
      <c r="E91" s="46"/>
      <c r="F91" s="107"/>
      <c r="G91" s="107"/>
      <c r="H91" s="107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ht="15.75" customHeight="1">
      <c r="A92" s="46"/>
      <c r="B92" s="46"/>
      <c r="C92" s="107"/>
      <c r="D92" s="108"/>
      <c r="E92" s="46"/>
      <c r="F92" s="107"/>
      <c r="G92" s="107"/>
      <c r="H92" s="107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ht="15.75" customHeight="1">
      <c r="A93" s="46"/>
      <c r="B93" s="46"/>
      <c r="C93" s="107"/>
      <c r="D93" s="108"/>
      <c r="E93" s="46"/>
      <c r="F93" s="107"/>
      <c r="G93" s="107"/>
      <c r="H93" s="107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ht="15.75" customHeight="1">
      <c r="A94" s="46"/>
      <c r="B94" s="46"/>
      <c r="C94" s="107"/>
      <c r="D94" s="108"/>
      <c r="E94" s="46"/>
      <c r="F94" s="107"/>
      <c r="G94" s="107"/>
      <c r="H94" s="107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ht="15.75" customHeight="1">
      <c r="A95" s="46"/>
      <c r="B95" s="46"/>
      <c r="C95" s="107"/>
      <c r="D95" s="108"/>
      <c r="E95" s="46"/>
      <c r="F95" s="107"/>
      <c r="G95" s="107"/>
      <c r="H95" s="107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ht="15.75" customHeight="1">
      <c r="A96" s="46"/>
      <c r="B96" s="46"/>
      <c r="C96" s="107"/>
      <c r="D96" s="108"/>
      <c r="E96" s="46"/>
      <c r="F96" s="107"/>
      <c r="G96" s="107"/>
      <c r="H96" s="107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ht="15.75" customHeight="1">
      <c r="A97" s="46"/>
      <c r="B97" s="46"/>
      <c r="C97" s="107"/>
      <c r="D97" s="108"/>
      <c r="E97" s="46"/>
      <c r="F97" s="107"/>
      <c r="G97" s="107"/>
      <c r="H97" s="107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ht="15.75" customHeight="1">
      <c r="A98" s="46"/>
      <c r="B98" s="46"/>
      <c r="C98" s="107"/>
      <c r="D98" s="108"/>
      <c r="E98" s="46"/>
      <c r="F98" s="107"/>
      <c r="G98" s="107"/>
      <c r="H98" s="107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ht="15.75" customHeight="1">
      <c r="A99" s="46"/>
      <c r="B99" s="46"/>
      <c r="C99" s="107"/>
      <c r="D99" s="108"/>
      <c r="E99" s="46"/>
      <c r="F99" s="107"/>
      <c r="G99" s="107"/>
      <c r="H99" s="107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ht="15.75" customHeight="1">
      <c r="A100" s="46"/>
      <c r="B100" s="46"/>
      <c r="C100" s="107"/>
      <c r="D100" s="108"/>
      <c r="E100" s="46"/>
      <c r="F100" s="107"/>
      <c r="G100" s="107"/>
      <c r="H100" s="107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ht="15.75" customHeight="1">
      <c r="A101" s="46"/>
      <c r="B101" s="46"/>
      <c r="C101" s="107"/>
      <c r="D101" s="108"/>
      <c r="E101" s="46"/>
      <c r="F101" s="107"/>
      <c r="G101" s="107"/>
      <c r="H101" s="107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ht="15.75" customHeight="1">
      <c r="A102" s="46"/>
      <c r="B102" s="46"/>
      <c r="C102" s="107"/>
      <c r="D102" s="108"/>
      <c r="E102" s="46"/>
      <c r="F102" s="107"/>
      <c r="G102" s="107"/>
      <c r="H102" s="107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ht="15.75" customHeight="1">
      <c r="A103" s="46"/>
      <c r="B103" s="46"/>
      <c r="C103" s="107"/>
      <c r="D103" s="108"/>
      <c r="E103" s="46"/>
      <c r="F103" s="107"/>
      <c r="G103" s="107"/>
      <c r="H103" s="107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ht="15.75" customHeight="1">
      <c r="A104" s="46"/>
      <c r="B104" s="46"/>
      <c r="C104" s="107"/>
      <c r="D104" s="108"/>
      <c r="E104" s="46"/>
      <c r="F104" s="107"/>
      <c r="G104" s="107"/>
      <c r="H104" s="107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ht="15.75" customHeight="1">
      <c r="A105" s="46"/>
      <c r="B105" s="46"/>
      <c r="C105" s="107"/>
      <c r="D105" s="108"/>
      <c r="E105" s="46"/>
      <c r="F105" s="107"/>
      <c r="G105" s="107"/>
      <c r="H105" s="107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ht="15.75" customHeight="1">
      <c r="A106" s="46"/>
      <c r="B106" s="46"/>
      <c r="C106" s="107"/>
      <c r="D106" s="108"/>
      <c r="E106" s="46"/>
      <c r="F106" s="107"/>
      <c r="G106" s="107"/>
      <c r="H106" s="107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ht="15.75" customHeight="1">
      <c r="A107" s="46"/>
      <c r="B107" s="46"/>
      <c r="C107" s="107"/>
      <c r="D107" s="108"/>
      <c r="E107" s="46"/>
      <c r="F107" s="107"/>
      <c r="G107" s="107"/>
      <c r="H107" s="107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ht="15.75" customHeight="1">
      <c r="A108" s="46"/>
      <c r="B108" s="46"/>
      <c r="C108" s="107"/>
      <c r="D108" s="108"/>
      <c r="E108" s="46"/>
      <c r="F108" s="107"/>
      <c r="G108" s="107"/>
      <c r="H108" s="107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ht="15.75" customHeight="1">
      <c r="A109" s="46"/>
      <c r="B109" s="46"/>
      <c r="C109" s="107"/>
      <c r="D109" s="108"/>
      <c r="E109" s="46"/>
      <c r="F109" s="107"/>
      <c r="G109" s="107"/>
      <c r="H109" s="107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ht="15.75" customHeight="1">
      <c r="A110" s="46"/>
      <c r="B110" s="46"/>
      <c r="C110" s="107"/>
      <c r="D110" s="108"/>
      <c r="E110" s="46"/>
      <c r="F110" s="107"/>
      <c r="G110" s="107"/>
      <c r="H110" s="107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ht="15.75" customHeight="1">
      <c r="A111" s="46"/>
      <c r="B111" s="46"/>
      <c r="C111" s="107"/>
      <c r="D111" s="108"/>
      <c r="E111" s="46"/>
      <c r="F111" s="107"/>
      <c r="G111" s="107"/>
      <c r="H111" s="107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ht="15.75" customHeight="1">
      <c r="A112" s="46"/>
      <c r="B112" s="46"/>
      <c r="C112" s="107"/>
      <c r="D112" s="108"/>
      <c r="E112" s="46"/>
      <c r="F112" s="107"/>
      <c r="G112" s="107"/>
      <c r="H112" s="107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ht="15.75" customHeight="1">
      <c r="A113" s="46"/>
      <c r="B113" s="46"/>
      <c r="C113" s="107"/>
      <c r="D113" s="108"/>
      <c r="E113" s="46"/>
      <c r="F113" s="107"/>
      <c r="G113" s="107"/>
      <c r="H113" s="107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ht="15.75" customHeight="1">
      <c r="A114" s="46"/>
      <c r="B114" s="46"/>
      <c r="C114" s="107"/>
      <c r="D114" s="108"/>
      <c r="E114" s="46"/>
      <c r="F114" s="107"/>
      <c r="G114" s="107"/>
      <c r="H114" s="107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ht="15.75" customHeight="1">
      <c r="A115" s="46"/>
      <c r="B115" s="46"/>
      <c r="C115" s="107"/>
      <c r="D115" s="108"/>
      <c r="E115" s="46"/>
      <c r="F115" s="107"/>
      <c r="G115" s="107"/>
      <c r="H115" s="107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ht="15.75" customHeight="1">
      <c r="A116" s="46"/>
      <c r="B116" s="46"/>
      <c r="C116" s="107"/>
      <c r="D116" s="108"/>
      <c r="E116" s="46"/>
      <c r="F116" s="107"/>
      <c r="G116" s="107"/>
      <c r="H116" s="107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ht="15.75" customHeight="1">
      <c r="A117" s="46"/>
      <c r="B117" s="46"/>
      <c r="C117" s="107"/>
      <c r="D117" s="108"/>
      <c r="E117" s="46"/>
      <c r="F117" s="107"/>
      <c r="G117" s="107"/>
      <c r="H117" s="107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ht="15.75" customHeight="1">
      <c r="A118" s="46"/>
      <c r="B118" s="46"/>
      <c r="C118" s="107"/>
      <c r="D118" s="108"/>
      <c r="E118" s="46"/>
      <c r="F118" s="107"/>
      <c r="G118" s="107"/>
      <c r="H118" s="107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ht="15.75" customHeight="1">
      <c r="A119" s="46"/>
      <c r="B119" s="46"/>
      <c r="C119" s="107"/>
      <c r="D119" s="108"/>
      <c r="E119" s="46"/>
      <c r="F119" s="107"/>
      <c r="G119" s="107"/>
      <c r="H119" s="107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ht="15.75" customHeight="1">
      <c r="A120" s="46"/>
      <c r="B120" s="46"/>
      <c r="C120" s="107"/>
      <c r="D120" s="108"/>
      <c r="E120" s="46"/>
      <c r="F120" s="107"/>
      <c r="G120" s="107"/>
      <c r="H120" s="107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ht="15.75" customHeight="1">
      <c r="A121" s="46"/>
      <c r="B121" s="46"/>
      <c r="C121" s="107"/>
      <c r="D121" s="108"/>
      <c r="E121" s="46"/>
      <c r="F121" s="107"/>
      <c r="G121" s="107"/>
      <c r="H121" s="107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ht="15.75" customHeight="1">
      <c r="A122" s="46"/>
      <c r="B122" s="46"/>
      <c r="C122" s="107"/>
      <c r="D122" s="108"/>
      <c r="E122" s="46"/>
      <c r="F122" s="107"/>
      <c r="G122" s="107"/>
      <c r="H122" s="107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ht="15.75" customHeight="1">
      <c r="A123" s="46"/>
      <c r="B123" s="46"/>
      <c r="C123" s="107"/>
      <c r="D123" s="108"/>
      <c r="E123" s="46"/>
      <c r="F123" s="107"/>
      <c r="G123" s="107"/>
      <c r="H123" s="107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ht="15.75" customHeight="1">
      <c r="A124" s="46"/>
      <c r="B124" s="46"/>
      <c r="C124" s="107"/>
      <c r="D124" s="108"/>
      <c r="E124" s="46"/>
      <c r="F124" s="107"/>
      <c r="G124" s="107"/>
      <c r="H124" s="107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ht="15.75" customHeight="1">
      <c r="A125" s="46"/>
      <c r="B125" s="46"/>
      <c r="C125" s="107"/>
      <c r="D125" s="108"/>
      <c r="E125" s="46"/>
      <c r="F125" s="107"/>
      <c r="G125" s="107"/>
      <c r="H125" s="107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ht="15.75" customHeight="1">
      <c r="A126" s="46"/>
      <c r="B126" s="46"/>
      <c r="C126" s="107"/>
      <c r="D126" s="108"/>
      <c r="E126" s="46"/>
      <c r="F126" s="107"/>
      <c r="G126" s="107"/>
      <c r="H126" s="107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ht="15.75" customHeight="1">
      <c r="A127" s="46"/>
      <c r="B127" s="46"/>
      <c r="C127" s="107"/>
      <c r="D127" s="108"/>
      <c r="E127" s="46"/>
      <c r="F127" s="107"/>
      <c r="G127" s="107"/>
      <c r="H127" s="107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ht="15.75" customHeight="1">
      <c r="A128" s="46"/>
      <c r="B128" s="46"/>
      <c r="C128" s="107"/>
      <c r="D128" s="108"/>
      <c r="E128" s="46"/>
      <c r="F128" s="107"/>
      <c r="G128" s="107"/>
      <c r="H128" s="107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ht="15.75" customHeight="1">
      <c r="A129" s="46"/>
      <c r="B129" s="46"/>
      <c r="C129" s="107"/>
      <c r="D129" s="108"/>
      <c r="E129" s="46"/>
      <c r="F129" s="107"/>
      <c r="G129" s="107"/>
      <c r="H129" s="107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ht="15.75" customHeight="1">
      <c r="A130" s="46"/>
      <c r="B130" s="46"/>
      <c r="C130" s="107"/>
      <c r="D130" s="108"/>
      <c r="E130" s="46"/>
      <c r="F130" s="107"/>
      <c r="G130" s="107"/>
      <c r="H130" s="107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ht="15.75" customHeight="1">
      <c r="A131" s="46"/>
      <c r="B131" s="46"/>
      <c r="C131" s="107"/>
      <c r="D131" s="108"/>
      <c r="E131" s="46"/>
      <c r="F131" s="107"/>
      <c r="G131" s="107"/>
      <c r="H131" s="107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ht="15.75" customHeight="1">
      <c r="A132" s="46"/>
      <c r="B132" s="46"/>
      <c r="C132" s="107"/>
      <c r="D132" s="108"/>
      <c r="E132" s="46"/>
      <c r="F132" s="107"/>
      <c r="G132" s="107"/>
      <c r="H132" s="107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ht="15.75" customHeight="1">
      <c r="A133" s="46"/>
      <c r="B133" s="46"/>
      <c r="C133" s="107"/>
      <c r="D133" s="108"/>
      <c r="E133" s="46"/>
      <c r="F133" s="107"/>
      <c r="G133" s="107"/>
      <c r="H133" s="107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ht="15.75" customHeight="1">
      <c r="A134" s="46"/>
      <c r="B134" s="46"/>
      <c r="C134" s="107"/>
      <c r="D134" s="108"/>
      <c r="E134" s="46"/>
      <c r="F134" s="107"/>
      <c r="G134" s="107"/>
      <c r="H134" s="107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ht="15.75" customHeight="1">
      <c r="A135" s="46"/>
      <c r="B135" s="46"/>
      <c r="C135" s="107"/>
      <c r="D135" s="108"/>
      <c r="E135" s="46"/>
      <c r="F135" s="107"/>
      <c r="G135" s="107"/>
      <c r="H135" s="107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ht="15.75" customHeight="1">
      <c r="A136" s="46"/>
      <c r="B136" s="46"/>
      <c r="C136" s="107"/>
      <c r="D136" s="108"/>
      <c r="E136" s="46"/>
      <c r="F136" s="107"/>
      <c r="G136" s="107"/>
      <c r="H136" s="107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ht="15.75" customHeight="1">
      <c r="A137" s="46"/>
      <c r="B137" s="46"/>
      <c r="C137" s="107"/>
      <c r="D137" s="108"/>
      <c r="E137" s="46"/>
      <c r="F137" s="107"/>
      <c r="G137" s="107"/>
      <c r="H137" s="107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ht="15.75" customHeight="1">
      <c r="A138" s="46"/>
      <c r="B138" s="46"/>
      <c r="C138" s="107"/>
      <c r="D138" s="108"/>
      <c r="E138" s="46"/>
      <c r="F138" s="107"/>
      <c r="G138" s="107"/>
      <c r="H138" s="107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ht="15.75" customHeight="1">
      <c r="A139" s="46"/>
      <c r="B139" s="46"/>
      <c r="C139" s="107"/>
      <c r="D139" s="108"/>
      <c r="E139" s="46"/>
      <c r="F139" s="107"/>
      <c r="G139" s="107"/>
      <c r="H139" s="107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ht="15.75" customHeight="1">
      <c r="A140" s="46"/>
      <c r="B140" s="46"/>
      <c r="C140" s="107"/>
      <c r="D140" s="108"/>
      <c r="E140" s="46"/>
      <c r="F140" s="107"/>
      <c r="G140" s="107"/>
      <c r="H140" s="107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ht="15.75" customHeight="1">
      <c r="A141" s="46"/>
      <c r="B141" s="46"/>
      <c r="C141" s="107"/>
      <c r="D141" s="108"/>
      <c r="E141" s="46"/>
      <c r="F141" s="107"/>
      <c r="G141" s="107"/>
      <c r="H141" s="107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ht="15.75" customHeight="1">
      <c r="A142" s="46"/>
      <c r="B142" s="46"/>
      <c r="C142" s="107"/>
      <c r="D142" s="108"/>
      <c r="E142" s="46"/>
      <c r="F142" s="107"/>
      <c r="G142" s="107"/>
      <c r="H142" s="107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ht="15.75" customHeight="1">
      <c r="A143" s="46"/>
      <c r="B143" s="46"/>
      <c r="C143" s="107"/>
      <c r="D143" s="108"/>
      <c r="E143" s="46"/>
      <c r="F143" s="107"/>
      <c r="G143" s="107"/>
      <c r="H143" s="107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ht="15.75" customHeight="1">
      <c r="A144" s="46"/>
      <c r="B144" s="46"/>
      <c r="C144" s="107"/>
      <c r="D144" s="108"/>
      <c r="E144" s="46"/>
      <c r="F144" s="107"/>
      <c r="G144" s="107"/>
      <c r="H144" s="107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ht="15.75" customHeight="1">
      <c r="A145" s="46"/>
      <c r="B145" s="46"/>
      <c r="C145" s="107"/>
      <c r="D145" s="108"/>
      <c r="E145" s="46"/>
      <c r="F145" s="107"/>
      <c r="G145" s="107"/>
      <c r="H145" s="107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ht="15.75" customHeight="1">
      <c r="A146" s="46"/>
      <c r="B146" s="46"/>
      <c r="C146" s="107"/>
      <c r="D146" s="108"/>
      <c r="E146" s="46"/>
      <c r="F146" s="107"/>
      <c r="G146" s="107"/>
      <c r="H146" s="107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ht="15.75" customHeight="1">
      <c r="A147" s="46"/>
      <c r="B147" s="46"/>
      <c r="C147" s="107"/>
      <c r="D147" s="108"/>
      <c r="E147" s="46"/>
      <c r="F147" s="107"/>
      <c r="G147" s="107"/>
      <c r="H147" s="107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ht="15.75" customHeight="1">
      <c r="A148" s="46"/>
      <c r="B148" s="46"/>
      <c r="C148" s="107"/>
      <c r="D148" s="108"/>
      <c r="E148" s="46"/>
      <c r="F148" s="107"/>
      <c r="G148" s="107"/>
      <c r="H148" s="107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ht="15.75" customHeight="1">
      <c r="A149" s="46"/>
      <c r="B149" s="46"/>
      <c r="C149" s="107"/>
      <c r="D149" s="108"/>
      <c r="E149" s="46"/>
      <c r="F149" s="107"/>
      <c r="G149" s="107"/>
      <c r="H149" s="107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ht="15.75" customHeight="1">
      <c r="A150" s="46"/>
      <c r="B150" s="46"/>
      <c r="C150" s="107"/>
      <c r="D150" s="108"/>
      <c r="E150" s="46"/>
      <c r="F150" s="107"/>
      <c r="G150" s="107"/>
      <c r="H150" s="107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ht="15.75" customHeight="1">
      <c r="A151" s="46"/>
      <c r="B151" s="46"/>
      <c r="C151" s="107"/>
      <c r="D151" s="108"/>
      <c r="E151" s="46"/>
      <c r="F151" s="107"/>
      <c r="G151" s="107"/>
      <c r="H151" s="107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ht="15.75" customHeight="1">
      <c r="A152" s="46"/>
      <c r="B152" s="46"/>
      <c r="C152" s="107"/>
      <c r="D152" s="108"/>
      <c r="E152" s="46"/>
      <c r="F152" s="107"/>
      <c r="G152" s="107"/>
      <c r="H152" s="107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ht="15.75" customHeight="1">
      <c r="A153" s="46"/>
      <c r="B153" s="46"/>
      <c r="C153" s="107"/>
      <c r="D153" s="108"/>
      <c r="E153" s="46"/>
      <c r="F153" s="107"/>
      <c r="G153" s="107"/>
      <c r="H153" s="107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ht="15.75" customHeight="1">
      <c r="A154" s="46"/>
      <c r="B154" s="46"/>
      <c r="C154" s="107"/>
      <c r="D154" s="108"/>
      <c r="E154" s="46"/>
      <c r="F154" s="107"/>
      <c r="G154" s="107"/>
      <c r="H154" s="107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ht="15.75" customHeight="1">
      <c r="A155" s="46"/>
      <c r="B155" s="46"/>
      <c r="C155" s="107"/>
      <c r="D155" s="108"/>
      <c r="E155" s="46"/>
      <c r="F155" s="107"/>
      <c r="G155" s="107"/>
      <c r="H155" s="107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ht="15.75" customHeight="1">
      <c r="A156" s="46"/>
      <c r="B156" s="46"/>
      <c r="C156" s="107"/>
      <c r="D156" s="108"/>
      <c r="E156" s="46"/>
      <c r="F156" s="107"/>
      <c r="G156" s="107"/>
      <c r="H156" s="107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ht="15.75" customHeight="1">
      <c r="A157" s="46"/>
      <c r="B157" s="46"/>
      <c r="C157" s="107"/>
      <c r="D157" s="108"/>
      <c r="E157" s="46"/>
      <c r="F157" s="107"/>
      <c r="G157" s="107"/>
      <c r="H157" s="107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ht="15.75" customHeight="1">
      <c r="A158" s="46"/>
      <c r="B158" s="46"/>
      <c r="C158" s="107"/>
      <c r="D158" s="108"/>
      <c r="E158" s="46"/>
      <c r="F158" s="107"/>
      <c r="G158" s="107"/>
      <c r="H158" s="107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ht="15.75" customHeight="1">
      <c r="A159" s="46"/>
      <c r="B159" s="46"/>
      <c r="C159" s="107"/>
      <c r="D159" s="108"/>
      <c r="E159" s="46"/>
      <c r="F159" s="107"/>
      <c r="G159" s="107"/>
      <c r="H159" s="107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ht="15.75" customHeight="1">
      <c r="A160" s="46"/>
      <c r="B160" s="46"/>
      <c r="C160" s="107"/>
      <c r="D160" s="108"/>
      <c r="E160" s="46"/>
      <c r="F160" s="107"/>
      <c r="G160" s="107"/>
      <c r="H160" s="107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ht="15.75" customHeight="1">
      <c r="A161" s="46"/>
      <c r="B161" s="46"/>
      <c r="C161" s="107"/>
      <c r="D161" s="108"/>
      <c r="E161" s="46"/>
      <c r="F161" s="107"/>
      <c r="G161" s="107"/>
      <c r="H161" s="107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ht="15.75" customHeight="1">
      <c r="A162" s="46"/>
      <c r="B162" s="46"/>
      <c r="C162" s="107"/>
      <c r="D162" s="108"/>
      <c r="E162" s="46"/>
      <c r="F162" s="107"/>
      <c r="G162" s="107"/>
      <c r="H162" s="107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ht="15.75" customHeight="1">
      <c r="A163" s="46"/>
      <c r="B163" s="46"/>
      <c r="C163" s="107"/>
      <c r="D163" s="108"/>
      <c r="E163" s="46"/>
      <c r="F163" s="107"/>
      <c r="G163" s="107"/>
      <c r="H163" s="107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ht="15.75" customHeight="1">
      <c r="A164" s="46"/>
      <c r="B164" s="46"/>
      <c r="C164" s="107"/>
      <c r="D164" s="108"/>
      <c r="E164" s="46"/>
      <c r="F164" s="107"/>
      <c r="G164" s="107"/>
      <c r="H164" s="107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ht="15.75" customHeight="1">
      <c r="A165" s="46"/>
      <c r="B165" s="46"/>
      <c r="C165" s="107"/>
      <c r="D165" s="108"/>
      <c r="E165" s="46"/>
      <c r="F165" s="107"/>
      <c r="G165" s="107"/>
      <c r="H165" s="107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ht="15.75" customHeight="1">
      <c r="A166" s="46"/>
      <c r="B166" s="46"/>
      <c r="C166" s="107"/>
      <c r="D166" s="108"/>
      <c r="E166" s="46"/>
      <c r="F166" s="107"/>
      <c r="G166" s="107"/>
      <c r="H166" s="107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ht="15.75" customHeight="1">
      <c r="A167" s="46"/>
      <c r="B167" s="46"/>
      <c r="C167" s="107"/>
      <c r="D167" s="108"/>
      <c r="E167" s="46"/>
      <c r="F167" s="107"/>
      <c r="G167" s="107"/>
      <c r="H167" s="107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ht="15.75" customHeight="1">
      <c r="A168" s="46"/>
      <c r="B168" s="46"/>
      <c r="C168" s="107"/>
      <c r="D168" s="108"/>
      <c r="E168" s="46"/>
      <c r="F168" s="107"/>
      <c r="G168" s="107"/>
      <c r="H168" s="107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ht="15.75" customHeight="1">
      <c r="A169" s="46"/>
      <c r="B169" s="46"/>
      <c r="C169" s="107"/>
      <c r="D169" s="108"/>
      <c r="E169" s="46"/>
      <c r="F169" s="107"/>
      <c r="G169" s="107"/>
      <c r="H169" s="107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ht="15.75" customHeight="1">
      <c r="A170" s="46"/>
      <c r="B170" s="46"/>
      <c r="C170" s="107"/>
      <c r="D170" s="108"/>
      <c r="E170" s="46"/>
      <c r="F170" s="107"/>
      <c r="G170" s="107"/>
      <c r="H170" s="107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ht="15.75" customHeight="1">
      <c r="A171" s="46"/>
      <c r="B171" s="46"/>
      <c r="C171" s="107"/>
      <c r="D171" s="108"/>
      <c r="E171" s="46"/>
      <c r="F171" s="107"/>
      <c r="G171" s="107"/>
      <c r="H171" s="107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ht="15.75" customHeight="1">
      <c r="A172" s="46"/>
      <c r="B172" s="46"/>
      <c r="C172" s="107"/>
      <c r="D172" s="108"/>
      <c r="E172" s="46"/>
      <c r="F172" s="107"/>
      <c r="G172" s="107"/>
      <c r="H172" s="107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ht="15.75" customHeight="1">
      <c r="A173" s="46"/>
      <c r="B173" s="46"/>
      <c r="C173" s="107"/>
      <c r="D173" s="108"/>
      <c r="E173" s="46"/>
      <c r="F173" s="107"/>
      <c r="G173" s="107"/>
      <c r="H173" s="107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ht="15.75" customHeight="1">
      <c r="A174" s="46"/>
      <c r="B174" s="46"/>
      <c r="C174" s="107"/>
      <c r="D174" s="108"/>
      <c r="E174" s="46"/>
      <c r="F174" s="107"/>
      <c r="G174" s="107"/>
      <c r="H174" s="107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ht="15.75" customHeight="1">
      <c r="A175" s="46"/>
      <c r="B175" s="46"/>
      <c r="C175" s="107"/>
      <c r="D175" s="108"/>
      <c r="E175" s="46"/>
      <c r="F175" s="107"/>
      <c r="G175" s="107"/>
      <c r="H175" s="107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ht="15.75" customHeight="1">
      <c r="A176" s="46"/>
      <c r="B176" s="46"/>
      <c r="C176" s="107"/>
      <c r="D176" s="108"/>
      <c r="E176" s="46"/>
      <c r="F176" s="107"/>
      <c r="G176" s="107"/>
      <c r="H176" s="107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ht="15.75" customHeight="1">
      <c r="A177" s="46"/>
      <c r="B177" s="46"/>
      <c r="C177" s="107"/>
      <c r="D177" s="108"/>
      <c r="E177" s="46"/>
      <c r="F177" s="107"/>
      <c r="G177" s="107"/>
      <c r="H177" s="107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ht="15.75" customHeight="1">
      <c r="A178" s="46"/>
      <c r="B178" s="46"/>
      <c r="C178" s="107"/>
      <c r="D178" s="108"/>
      <c r="E178" s="46"/>
      <c r="F178" s="107"/>
      <c r="G178" s="107"/>
      <c r="H178" s="107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ht="15.75" customHeight="1">
      <c r="A179" s="46"/>
      <c r="B179" s="46"/>
      <c r="C179" s="107"/>
      <c r="D179" s="108"/>
      <c r="E179" s="46"/>
      <c r="F179" s="107"/>
      <c r="G179" s="107"/>
      <c r="H179" s="107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ht="15.75" customHeight="1">
      <c r="A180" s="46"/>
      <c r="B180" s="46"/>
      <c r="C180" s="107"/>
      <c r="D180" s="108"/>
      <c r="E180" s="46"/>
      <c r="F180" s="107"/>
      <c r="G180" s="107"/>
      <c r="H180" s="107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ht="15.75" customHeight="1">
      <c r="A181" s="46"/>
      <c r="B181" s="46"/>
      <c r="C181" s="107"/>
      <c r="D181" s="108"/>
      <c r="E181" s="46"/>
      <c r="F181" s="107"/>
      <c r="G181" s="107"/>
      <c r="H181" s="107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ht="15.75" customHeight="1">
      <c r="A182" s="46"/>
      <c r="B182" s="46"/>
      <c r="C182" s="107"/>
      <c r="D182" s="108"/>
      <c r="E182" s="46"/>
      <c r="F182" s="107"/>
      <c r="G182" s="107"/>
      <c r="H182" s="107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ht="15.75" customHeight="1">
      <c r="A183" s="46"/>
      <c r="B183" s="46"/>
      <c r="C183" s="107"/>
      <c r="D183" s="108"/>
      <c r="E183" s="46"/>
      <c r="F183" s="107"/>
      <c r="G183" s="107"/>
      <c r="H183" s="107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ht="15.75" customHeight="1">
      <c r="A184" s="46"/>
      <c r="B184" s="46"/>
      <c r="C184" s="107"/>
      <c r="D184" s="108"/>
      <c r="E184" s="46"/>
      <c r="F184" s="107"/>
      <c r="G184" s="107"/>
      <c r="H184" s="107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ht="15.75" customHeight="1">
      <c r="A185" s="46"/>
      <c r="B185" s="46"/>
      <c r="C185" s="107"/>
      <c r="D185" s="108"/>
      <c r="E185" s="46"/>
      <c r="F185" s="107"/>
      <c r="G185" s="107"/>
      <c r="H185" s="107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ht="15.75" customHeight="1">
      <c r="A186" s="46"/>
      <c r="B186" s="46"/>
      <c r="C186" s="107"/>
      <c r="D186" s="108"/>
      <c r="E186" s="46"/>
      <c r="F186" s="107"/>
      <c r="G186" s="107"/>
      <c r="H186" s="107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ht="15.75" customHeight="1">
      <c r="A187" s="46"/>
      <c r="B187" s="46"/>
      <c r="C187" s="107"/>
      <c r="D187" s="108"/>
      <c r="E187" s="46"/>
      <c r="F187" s="107"/>
      <c r="G187" s="107"/>
      <c r="H187" s="107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ht="15.75" customHeight="1">
      <c r="A188" s="46"/>
      <c r="B188" s="46"/>
      <c r="C188" s="107"/>
      <c r="D188" s="108"/>
      <c r="E188" s="46"/>
      <c r="F188" s="107"/>
      <c r="G188" s="107"/>
      <c r="H188" s="107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ht="15.75" customHeight="1">
      <c r="A189" s="46"/>
      <c r="B189" s="46"/>
      <c r="C189" s="107"/>
      <c r="D189" s="108"/>
      <c r="E189" s="46"/>
      <c r="F189" s="107"/>
      <c r="G189" s="107"/>
      <c r="H189" s="107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ht="15.75" customHeight="1">
      <c r="A190" s="46"/>
      <c r="B190" s="46"/>
      <c r="C190" s="107"/>
      <c r="D190" s="108"/>
      <c r="E190" s="46"/>
      <c r="F190" s="107"/>
      <c r="G190" s="107"/>
      <c r="H190" s="107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ht="15.75" customHeight="1">
      <c r="A191" s="46"/>
      <c r="B191" s="46"/>
      <c r="C191" s="107"/>
      <c r="D191" s="108"/>
      <c r="E191" s="46"/>
      <c r="F191" s="107"/>
      <c r="G191" s="107"/>
      <c r="H191" s="107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ht="15.75" customHeight="1">
      <c r="A192" s="46"/>
      <c r="B192" s="46"/>
      <c r="C192" s="107"/>
      <c r="D192" s="108"/>
      <c r="E192" s="46"/>
      <c r="F192" s="107"/>
      <c r="G192" s="107"/>
      <c r="H192" s="107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ht="15.75" customHeight="1">
      <c r="A193" s="46"/>
      <c r="B193" s="46"/>
      <c r="C193" s="107"/>
      <c r="D193" s="108"/>
      <c r="E193" s="46"/>
      <c r="F193" s="107"/>
      <c r="G193" s="107"/>
      <c r="H193" s="107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ht="15.75" customHeight="1">
      <c r="A194" s="46"/>
      <c r="B194" s="46"/>
      <c r="C194" s="107"/>
      <c r="D194" s="108"/>
      <c r="E194" s="46"/>
      <c r="F194" s="107"/>
      <c r="G194" s="107"/>
      <c r="H194" s="107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ht="15.75" customHeight="1">
      <c r="A195" s="46"/>
      <c r="B195" s="46"/>
      <c r="C195" s="107"/>
      <c r="D195" s="108"/>
      <c r="E195" s="46"/>
      <c r="F195" s="107"/>
      <c r="G195" s="107"/>
      <c r="H195" s="107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ht="15.75" customHeight="1">
      <c r="A196" s="46"/>
      <c r="B196" s="46"/>
      <c r="C196" s="107"/>
      <c r="D196" s="108"/>
      <c r="E196" s="46"/>
      <c r="F196" s="107"/>
      <c r="G196" s="107"/>
      <c r="H196" s="107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ht="15.75" customHeight="1">
      <c r="A197" s="46"/>
      <c r="B197" s="46"/>
      <c r="C197" s="107"/>
      <c r="D197" s="108"/>
      <c r="E197" s="46"/>
      <c r="F197" s="107"/>
      <c r="G197" s="107"/>
      <c r="H197" s="107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ht="15.75" customHeight="1">
      <c r="A198" s="46"/>
      <c r="B198" s="46"/>
      <c r="C198" s="107"/>
      <c r="D198" s="108"/>
      <c r="E198" s="46"/>
      <c r="F198" s="107"/>
      <c r="G198" s="107"/>
      <c r="H198" s="107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ht="15.75" customHeight="1">
      <c r="A199" s="46"/>
      <c r="B199" s="46"/>
      <c r="C199" s="107"/>
      <c r="D199" s="108"/>
      <c r="E199" s="46"/>
      <c r="F199" s="107"/>
      <c r="G199" s="107"/>
      <c r="H199" s="107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ht="15.75" customHeight="1">
      <c r="A200" s="46"/>
      <c r="B200" s="46"/>
      <c r="C200" s="107"/>
      <c r="D200" s="108"/>
      <c r="E200" s="46"/>
      <c r="F200" s="107"/>
      <c r="G200" s="107"/>
      <c r="H200" s="107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ht="15.75" customHeight="1">
      <c r="A201" s="46"/>
      <c r="B201" s="46"/>
      <c r="C201" s="107"/>
      <c r="D201" s="108"/>
      <c r="E201" s="46"/>
      <c r="F201" s="107"/>
      <c r="G201" s="107"/>
      <c r="H201" s="107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ht="15.75" customHeight="1">
      <c r="A202" s="46"/>
      <c r="B202" s="46"/>
      <c r="C202" s="107"/>
      <c r="D202" s="108"/>
      <c r="E202" s="46"/>
      <c r="F202" s="107"/>
      <c r="G202" s="107"/>
      <c r="H202" s="107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ht="15.75" customHeight="1">
      <c r="A203" s="46"/>
      <c r="B203" s="46"/>
      <c r="C203" s="107"/>
      <c r="D203" s="108"/>
      <c r="E203" s="46"/>
      <c r="F203" s="107"/>
      <c r="G203" s="107"/>
      <c r="H203" s="107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ht="15.75" customHeight="1">
      <c r="A204" s="46"/>
      <c r="B204" s="46"/>
      <c r="C204" s="107"/>
      <c r="D204" s="108"/>
      <c r="E204" s="46"/>
      <c r="F204" s="107"/>
      <c r="G204" s="107"/>
      <c r="H204" s="107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ht="15.75" customHeight="1">
      <c r="A205" s="46"/>
      <c r="B205" s="46"/>
      <c r="C205" s="107"/>
      <c r="D205" s="108"/>
      <c r="E205" s="46"/>
      <c r="F205" s="107"/>
      <c r="G205" s="107"/>
      <c r="H205" s="107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ht="15.75" customHeight="1">
      <c r="A206" s="46"/>
      <c r="B206" s="46"/>
      <c r="C206" s="107"/>
      <c r="D206" s="108"/>
      <c r="E206" s="46"/>
      <c r="F206" s="107"/>
      <c r="G206" s="107"/>
      <c r="H206" s="107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ht="15.75" customHeight="1">
      <c r="A207" s="46"/>
      <c r="B207" s="46"/>
      <c r="C207" s="107"/>
      <c r="D207" s="108"/>
      <c r="E207" s="46"/>
      <c r="F207" s="107"/>
      <c r="G207" s="107"/>
      <c r="H207" s="107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ht="15.75" customHeight="1">
      <c r="A208" s="46"/>
      <c r="B208" s="46"/>
      <c r="C208" s="107"/>
      <c r="D208" s="108"/>
      <c r="E208" s="46"/>
      <c r="F208" s="107"/>
      <c r="G208" s="107"/>
      <c r="H208" s="107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ht="15.75" customHeight="1">
      <c r="A209" s="46"/>
      <c r="B209" s="46"/>
      <c r="C209" s="107"/>
      <c r="D209" s="108"/>
      <c r="E209" s="46"/>
      <c r="F209" s="107"/>
      <c r="G209" s="107"/>
      <c r="H209" s="107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ht="15.75" customHeight="1">
      <c r="A210" s="46"/>
      <c r="B210" s="46"/>
      <c r="C210" s="107"/>
      <c r="D210" s="108"/>
      <c r="E210" s="46"/>
      <c r="F210" s="107"/>
      <c r="G210" s="107"/>
      <c r="H210" s="107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ht="15.75" customHeight="1">
      <c r="A211" s="46"/>
      <c r="B211" s="46"/>
      <c r="C211" s="107"/>
      <c r="D211" s="108"/>
      <c r="E211" s="46"/>
      <c r="F211" s="107"/>
      <c r="G211" s="107"/>
      <c r="H211" s="107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ht="15.75" customHeight="1">
      <c r="A212" s="46"/>
      <c r="B212" s="46"/>
      <c r="C212" s="107"/>
      <c r="D212" s="108"/>
      <c r="E212" s="46"/>
      <c r="F212" s="107"/>
      <c r="G212" s="107"/>
      <c r="H212" s="107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ht="15.75" customHeight="1">
      <c r="A213" s="46"/>
      <c r="B213" s="46"/>
      <c r="C213" s="107"/>
      <c r="D213" s="108"/>
      <c r="E213" s="46"/>
      <c r="F213" s="107"/>
      <c r="G213" s="107"/>
      <c r="H213" s="107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ht="15.75" customHeight="1">
      <c r="A214" s="46"/>
      <c r="B214" s="46"/>
      <c r="C214" s="107"/>
      <c r="D214" s="108"/>
      <c r="E214" s="46"/>
      <c r="F214" s="107"/>
      <c r="G214" s="107"/>
      <c r="H214" s="107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ht="15.75" customHeight="1">
      <c r="A215" s="46"/>
      <c r="B215" s="46"/>
      <c r="C215" s="107"/>
      <c r="D215" s="108"/>
      <c r="E215" s="46"/>
      <c r="F215" s="107"/>
      <c r="G215" s="107"/>
      <c r="H215" s="107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ht="15.75" customHeight="1">
      <c r="A216" s="46"/>
      <c r="B216" s="46"/>
      <c r="C216" s="107"/>
      <c r="D216" s="108"/>
      <c r="E216" s="46"/>
      <c r="F216" s="107"/>
      <c r="G216" s="107"/>
      <c r="H216" s="107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ht="15.75" customHeight="1">
      <c r="A217" s="46"/>
      <c r="B217" s="46"/>
      <c r="C217" s="107"/>
      <c r="D217" s="108"/>
      <c r="E217" s="46"/>
      <c r="F217" s="107"/>
      <c r="G217" s="107"/>
      <c r="H217" s="107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ht="15.75" customHeight="1">
      <c r="A218" s="46"/>
      <c r="B218" s="46"/>
      <c r="C218" s="107"/>
      <c r="D218" s="108"/>
      <c r="E218" s="46"/>
      <c r="F218" s="107"/>
      <c r="G218" s="107"/>
      <c r="H218" s="107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ht="15.75" customHeight="1">
      <c r="A219" s="46"/>
      <c r="B219" s="46"/>
      <c r="C219" s="107"/>
      <c r="D219" s="108"/>
      <c r="E219" s="46"/>
      <c r="F219" s="107"/>
      <c r="G219" s="107"/>
      <c r="H219" s="107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ht="15.75" customHeight="1">
      <c r="A220" s="46"/>
      <c r="B220" s="46"/>
      <c r="C220" s="107"/>
      <c r="D220" s="108"/>
      <c r="E220" s="46"/>
      <c r="F220" s="107"/>
      <c r="G220" s="107"/>
      <c r="H220" s="107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ht="15.75" customHeight="1">
      <c r="A221" s="46"/>
      <c r="B221" s="46"/>
      <c r="C221" s="107"/>
      <c r="D221" s="108"/>
      <c r="E221" s="46"/>
      <c r="F221" s="107"/>
      <c r="G221" s="107"/>
      <c r="H221" s="107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ht="15.75" customHeight="1">
      <c r="A222" s="46"/>
      <c r="B222" s="46"/>
      <c r="C222" s="107"/>
      <c r="D222" s="108"/>
      <c r="E222" s="46"/>
      <c r="F222" s="107"/>
      <c r="G222" s="107"/>
      <c r="H222" s="107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ht="15.75" customHeight="1">
      <c r="A223" s="46"/>
      <c r="B223" s="46"/>
      <c r="C223" s="107"/>
      <c r="D223" s="108"/>
      <c r="E223" s="46"/>
      <c r="F223" s="107"/>
      <c r="G223" s="107"/>
      <c r="H223" s="107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ht="15.75" customHeight="1">
      <c r="A224" s="46"/>
      <c r="B224" s="46"/>
      <c r="C224" s="107"/>
      <c r="D224" s="108"/>
      <c r="E224" s="46"/>
      <c r="F224" s="107"/>
      <c r="G224" s="107"/>
      <c r="H224" s="107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ht="15.75" customHeight="1">
      <c r="A225" s="46"/>
      <c r="B225" s="46"/>
      <c r="C225" s="107"/>
      <c r="D225" s="108"/>
      <c r="E225" s="46"/>
      <c r="F225" s="107"/>
      <c r="G225" s="107"/>
      <c r="H225" s="107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ht="15.75" customHeight="1">
      <c r="A226" s="46"/>
      <c r="B226" s="46"/>
      <c r="C226" s="107"/>
      <c r="D226" s="108"/>
      <c r="E226" s="46"/>
      <c r="F226" s="107"/>
      <c r="G226" s="107"/>
      <c r="H226" s="107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ht="16.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ht="16.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ht="16.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ht="16.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ht="16.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ht="16.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ht="16.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ht="16.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ht="16.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ht="16.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ht="16.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ht="16.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ht="16.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ht="16.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ht="16.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ht="16.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ht="16.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ht="16.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ht="16.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ht="16.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ht="16.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ht="16.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ht="16.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ht="16.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ht="16.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ht="16.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ht="16.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ht="16.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ht="16.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ht="16.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ht="16.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ht="16.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ht="16.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ht="16.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ht="16.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ht="16.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ht="16.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ht="16.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ht="16.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ht="16.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ht="16.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ht="16.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ht="16.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ht="16.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ht="16.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ht="16.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ht="16.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ht="16.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ht="16.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ht="16.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ht="16.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ht="16.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ht="16.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ht="16.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ht="16.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ht="16.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ht="16.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ht="16.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ht="16.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ht="16.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ht="16.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ht="16.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ht="16.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ht="16.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ht="16.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ht="16.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ht="16.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ht="16.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ht="16.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ht="16.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ht="16.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ht="16.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ht="16.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ht="16.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ht="16.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ht="16.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ht="16.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ht="16.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ht="16.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ht="16.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ht="16.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ht="16.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ht="16.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ht="16.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ht="16.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ht="16.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ht="16.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ht="16.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ht="16.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ht="16.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ht="16.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ht="16.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ht="16.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ht="16.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ht="16.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ht="16.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ht="16.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ht="16.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ht="16.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ht="16.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ht="16.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spans="1:26" ht="16.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spans="1:26" ht="16.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spans="1:26" ht="16.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spans="1:26" ht="16.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spans="1:26" ht="16.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spans="1:26" ht="16.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spans="1:26" ht="16.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spans="1:26" ht="16.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spans="1:26" ht="16.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spans="1:26" ht="16.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spans="1:26" ht="16.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spans="1:26" ht="16.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spans="1:26" ht="16.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spans="1:26" ht="16.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spans="1:26" ht="16.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spans="1:26" ht="16.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spans="1:26" ht="16.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spans="1:26" ht="16.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spans="1:26" ht="16.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spans="1:26" ht="16.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spans="1:26" ht="16.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spans="1:26" ht="16.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spans="1:26" ht="16.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spans="1:26" ht="16.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spans="1:26" ht="16.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spans="1:26" ht="16.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spans="1:26" ht="16.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spans="1:26" ht="16.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spans="1:26" ht="16.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spans="1:26" ht="16.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spans="1:26" ht="16.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spans="1:26" ht="16.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spans="1:26" ht="16.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spans="1:26" ht="16.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spans="1:26" ht="16.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spans="1:26" ht="16.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spans="1:26" ht="16.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spans="1:26" ht="16.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spans="1:26" ht="16.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spans="1:26" ht="16.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spans="1:26" ht="16.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spans="1:26" ht="16.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spans="1:26" ht="16.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spans="1:26" ht="16.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spans="1:26" ht="16.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spans="1:26" ht="16.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spans="1:26" ht="16.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spans="1:26" ht="16.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spans="1:26" ht="16.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spans="1:26" ht="16.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spans="1:26" ht="16.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spans="1:26" ht="16.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spans="1:26" ht="16.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spans="1:26" ht="16.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spans="1:26" ht="16.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spans="1:26" ht="16.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spans="1:26" ht="16.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spans="1:26" ht="16.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spans="1:26" ht="16.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spans="1:26" ht="16.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spans="1:26" ht="16.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spans="1:26" ht="16.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spans="1:26" ht="16.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spans="1:26" ht="16.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spans="1:26" ht="16.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spans="1:26" ht="16.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spans="1:26" ht="16.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spans="1:26" ht="16.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spans="1:26" ht="16.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spans="1:26" ht="16.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spans="1:26" ht="16.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spans="1:26" ht="16.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spans="1:26" ht="16.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spans="1:26" ht="16.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spans="1:26" ht="16.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spans="1:26" ht="16.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spans="1:26" ht="16.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spans="1:26" ht="16.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spans="1:26" ht="16.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spans="1:26" ht="16.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spans="1:26" ht="16.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spans="1:26" ht="16.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spans="1:26" ht="16.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spans="1:26" ht="16.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spans="1:26" ht="16.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spans="1:26" ht="16.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spans="1:26" ht="16.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spans="1:26" ht="16.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spans="1:26" ht="16.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1:26" ht="16.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1:26" ht="16.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1:26" ht="16.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1:26" ht="16.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spans="1:26" ht="16.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spans="1:26" ht="16.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spans="1:26" ht="16.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spans="1:26" ht="16.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1:26" ht="16.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1:26" ht="16.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1:26" ht="16.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1:26" ht="16.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spans="1:26" ht="16.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spans="1:26" ht="16.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spans="1:26" ht="16.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spans="1:26" ht="16.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spans="1:26" ht="16.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spans="1:26" ht="16.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spans="1:26" ht="16.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spans="1:26" ht="16.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spans="1:26" ht="16.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spans="1:26" ht="16.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spans="1:26" ht="16.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spans="1:26" ht="16.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spans="1:26" ht="16.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spans="1:26" ht="16.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spans="1:26" ht="16.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spans="1:26" ht="16.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spans="1:26" ht="16.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spans="1:26" ht="16.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spans="1:26" ht="16.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spans="1:26" ht="16.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spans="1:26" ht="16.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spans="1:26" ht="16.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spans="1:26" ht="16.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spans="1:26" ht="16.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spans="1:26" ht="16.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spans="1:26" ht="16.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spans="1:26" ht="16.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spans="1:26" ht="16.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spans="1:26" ht="16.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spans="1:26" ht="16.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spans="1:26" ht="16.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spans="1:26" ht="16.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spans="1:26" ht="16.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spans="1:26" ht="16.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spans="1:26" ht="16.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spans="1:26" ht="16.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spans="1:26" ht="16.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spans="1:26" ht="16.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spans="1:26" ht="16.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spans="1:26" ht="16.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spans="1:26" ht="16.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spans="1:26" ht="16.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spans="1:26" ht="16.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spans="1:26" ht="16.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spans="1:26" ht="16.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spans="1:26" ht="16.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spans="1:26" ht="16.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spans="1:26" ht="16.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spans="1:26" ht="16.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spans="1:26" ht="16.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spans="1:26" ht="16.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spans="1:26" ht="16.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spans="1:26" ht="16.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spans="1:26" ht="16.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spans="1:26" ht="16.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spans="1:26" ht="16.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spans="1:26" ht="16.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spans="1:26" ht="16.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spans="1:26" ht="16.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spans="1:26" ht="16.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spans="1:26" ht="16.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spans="1:26" ht="16.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spans="1:26" ht="16.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spans="1:26" ht="16.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spans="1:26" ht="16.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spans="1:26" ht="16.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spans="1:26" ht="16.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spans="1:26" ht="16.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spans="1:26" ht="16.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spans="1:26" ht="16.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spans="1:26" ht="16.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spans="1:26" ht="16.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spans="1:26" ht="16.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spans="1:26" ht="16.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spans="1:26" ht="16.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spans="1:26" ht="16.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spans="1:26" ht="16.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spans="1:26" ht="16.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spans="1:26" ht="16.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spans="1:26" ht="16.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spans="1:26" ht="16.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spans="1:26" ht="16.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spans="1:26" ht="16.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spans="1:26" ht="16.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spans="1:26" ht="16.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spans="1:26" ht="16.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spans="1:26" ht="16.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spans="1:26" ht="16.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spans="1:26" ht="16.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spans="1:26" ht="16.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spans="1:26" ht="16.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spans="1:26" ht="16.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spans="1:26" ht="16.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spans="1:26" ht="16.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spans="1:26" ht="16.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spans="1:26" ht="16.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spans="1:26" ht="16.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spans="1:26" ht="16.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spans="1:26" ht="16.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spans="1:26" ht="16.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spans="1:26" ht="16.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spans="1:26" ht="16.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spans="1:26" ht="16.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spans="1:26" ht="16.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spans="1:26" ht="16.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spans="1:26" ht="16.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spans="1:26" ht="16.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spans="1:26" ht="16.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spans="1:26" ht="16.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spans="1:26" ht="16.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spans="1:26" ht="16.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spans="1:26" ht="16.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spans="1:26" ht="16.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spans="1:26" ht="16.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spans="1:26" ht="16.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spans="1:26" ht="16.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spans="1:26" ht="16.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spans="1:26" ht="16.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spans="1:26" ht="16.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spans="1:26" ht="16.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spans="1:26" ht="16.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spans="1:26" ht="16.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spans="1:26" ht="16.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spans="1:26" ht="16.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spans="1:26" ht="16.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spans="1:26" ht="16.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spans="1:26" ht="16.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spans="1:26" ht="16.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spans="1:26" ht="16.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spans="1:26" ht="16.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spans="1:26" ht="16.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spans="1:26" ht="16.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spans="1:26" ht="16.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spans="1:26" ht="16.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spans="1:26" ht="16.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spans="1:26" ht="16.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spans="1:26" ht="16.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spans="1:26" ht="16.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spans="1:26" ht="16.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spans="1:26" ht="16.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spans="1:26" ht="16.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spans="1:26" ht="16.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spans="1:26" ht="16.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spans="1:26" ht="16.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spans="1:26" ht="16.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spans="1:26" ht="16.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spans="1:26" ht="16.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spans="1:26" ht="16.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spans="1:26" ht="16.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spans="1:26" ht="16.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spans="1:26" ht="16.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spans="1:26" ht="16.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spans="1:26" ht="16.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spans="1:26" ht="16.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spans="1:26" ht="16.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spans="1:26" ht="16.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spans="1:26" ht="16.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spans="1:26" ht="16.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spans="1:26" ht="16.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spans="1:26" ht="16.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spans="1:26" ht="16.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spans="1:26" ht="16.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spans="1:26" ht="16.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spans="1:26" ht="16.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spans="1:26" ht="16.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spans="1:26" ht="16.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spans="1:26" ht="16.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spans="1:26" ht="16.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spans="1:26" ht="16.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spans="1:26" ht="16.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spans="1:26" ht="16.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spans="1:26" ht="16.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spans="1:26" ht="16.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spans="1:26" ht="16.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spans="1:26" ht="16.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spans="1:26" ht="16.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spans="1:26" ht="16.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spans="1:26" ht="16.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spans="1:26" ht="16.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spans="1:26" ht="16.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spans="1:26" ht="16.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spans="1:26" ht="16.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spans="1:26" ht="16.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spans="1:26" ht="16.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spans="1:26" ht="16.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spans="1:26" ht="16.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spans="1:26" ht="16.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spans="1:26" ht="16.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spans="1:26" ht="16.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spans="1:26" ht="16.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spans="1:26" ht="16.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spans="1:26" ht="16.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spans="1:26" ht="16.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spans="1:26" ht="16.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spans="1:26" ht="16.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spans="1:26" ht="16.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spans="1:26" ht="16.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spans="1:26" ht="16.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spans="1:26" ht="16.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spans="1:26" ht="16.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spans="1:26" ht="16.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spans="1:26" ht="16.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spans="1:26" ht="16.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spans="1:26" ht="16.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spans="1:26" ht="16.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spans="1:26" ht="16.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spans="1:26" ht="16.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spans="1:26" ht="16.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spans="1:26" ht="16.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spans="1:26" ht="16.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spans="1:26" ht="16.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spans="1:26" ht="16.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spans="1:26" ht="16.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spans="1:26" ht="16.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spans="1:26" ht="16.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spans="1:26" ht="16.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spans="1:26" ht="16.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spans="1:26" ht="16.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spans="1:26" ht="16.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spans="1:26" ht="16.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spans="1:26" ht="16.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spans="1:26" ht="16.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spans="1:26" ht="16.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spans="1:26" ht="16.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spans="1:26" ht="16.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spans="1:26" ht="16.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spans="1:26" ht="16.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spans="1:26" ht="16.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spans="1:26" ht="16.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spans="1:26" ht="16.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spans="1:26" ht="16.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spans="1:26" ht="16.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spans="1:26" ht="16.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spans="1:26" ht="16.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spans="1:26" ht="16.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spans="1:26" ht="16.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spans="1:26" ht="16.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spans="1:26" ht="16.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spans="1:26" ht="16.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spans="1:26" ht="16.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spans="1:26" ht="16.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spans="1:26" ht="16.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spans="1:26" ht="16.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spans="1:26" ht="16.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spans="1:26" ht="16.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spans="1:26" ht="16.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spans="1:26" ht="16.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spans="1:26" ht="16.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spans="1:26" ht="16.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spans="1:26" ht="16.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spans="1:26" ht="16.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spans="1:26" ht="16.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spans="1:26" ht="16.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spans="1:26" ht="16.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spans="1:26" ht="16.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spans="1:26" ht="16.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spans="1:26" ht="16.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spans="1:26" ht="16.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spans="1:26" ht="16.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spans="1:26" ht="16.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spans="1:26" ht="16.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spans="1:26" ht="16.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spans="1:26" ht="16.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spans="1:26" ht="16.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spans="1:26" ht="16.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spans="1:26" ht="16.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spans="1:26" ht="16.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spans="1:26" ht="16.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spans="1:26" ht="16.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spans="1:26" ht="16.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spans="1:26" ht="16.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spans="1:26" ht="16.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spans="1:26" ht="16.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spans="1:26" ht="16.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spans="1:26" ht="16.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spans="1:26" ht="16.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spans="1:26" ht="16.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spans="1:26" ht="16.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spans="1:26" ht="16.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spans="1:26" ht="16.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spans="1:26" ht="16.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spans="1:26" ht="16.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spans="1:26" ht="16.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spans="1:26" ht="16.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spans="1:26" ht="16.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spans="1:26" ht="16.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spans="1:26" ht="16.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spans="1:26" ht="16.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spans="1:26" ht="16.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spans="1:26" ht="16.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spans="1:26" ht="16.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spans="1:26" ht="16.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spans="1:26" ht="16.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spans="1:26" ht="16.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spans="1:26" ht="16.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spans="1:26" ht="16.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spans="1:26" ht="16.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spans="1:26" ht="16.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spans="1:26" ht="16.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spans="1:26" ht="16.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spans="1:26" ht="16.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spans="1:26" ht="16.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spans="1:26" ht="16.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spans="1:26" ht="16.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spans="1:26" ht="16.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spans="1:26" ht="16.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spans="1:26" ht="16.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spans="1:26" ht="16.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spans="1:26" ht="16.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spans="1:26" ht="16.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spans="1:26" ht="16.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spans="1:26" ht="16.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spans="1:26" ht="16.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spans="1:26" ht="16.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spans="1:26" ht="16.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spans="1:26" ht="16.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spans="1:26" ht="16.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spans="1:26" ht="16.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spans="1:26" ht="16.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spans="1:26" ht="16.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spans="1:26" ht="16.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spans="1:26" ht="16.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spans="1:26" ht="16.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spans="1:26" ht="16.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spans="1:26" ht="16.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spans="1:26" ht="16.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spans="1:26" ht="16.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spans="1:26" ht="16.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spans="1:26" ht="16.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spans="1:26" ht="16.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spans="1:26" ht="16.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spans="1:26" ht="16.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spans="1:26" ht="16.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spans="1:26" ht="16.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spans="1:26" ht="16.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spans="1:26" ht="16.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spans="1:26" ht="16.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spans="1:26" ht="16.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spans="1:26" ht="16.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spans="1:26" ht="16.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spans="1:26" ht="16.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spans="1:26" ht="16.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spans="1:26" ht="16.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spans="1:26" ht="16.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spans="1:26" ht="16.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spans="1:26" ht="16.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spans="1:26" ht="16.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spans="1:26" ht="16.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spans="1:26" ht="16.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spans="1:26" ht="16.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spans="1:26" ht="16.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spans="1:26" ht="16.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spans="1:26" ht="16.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spans="1:26" ht="16.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spans="1:26" ht="16.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spans="1:26" ht="16.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spans="1:26" ht="16.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spans="1:26" ht="16.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spans="1:26" ht="16.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spans="1:26" ht="16.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spans="1:26" ht="16.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spans="1:26" ht="16.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spans="1:26" ht="16.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spans="1:26" ht="16.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spans="1:26" ht="16.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spans="1:26" ht="16.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spans="1:26" ht="16.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spans="1:26" ht="16.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spans="1:26" ht="16.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spans="1:26" ht="16.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spans="1:26" ht="16.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spans="1:26" ht="16.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spans="1:26" ht="16.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spans="1:26" ht="16.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spans="1:26" ht="16.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spans="1:26" ht="16.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spans="1:26" ht="16.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spans="1:26" ht="16.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spans="1:26" ht="16.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spans="1:26" ht="16.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spans="1:26" ht="16.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spans="1:26" ht="16.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spans="1:26" ht="16.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spans="1:26" ht="16.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spans="1:26" ht="16.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spans="1:26" ht="16.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spans="1:26" ht="16.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spans="1:26" ht="16.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spans="1:26" ht="16.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spans="1:26" ht="16.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spans="1:26" ht="16.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spans="1:26" ht="16.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spans="1:26" ht="16.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spans="1:26" ht="16.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spans="1:26" ht="16.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spans="1:26" ht="16.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spans="1:26" ht="16.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spans="1:26" ht="16.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spans="1:26" ht="16.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spans="1:26" ht="16.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spans="1:26" ht="16.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spans="1:26" ht="16.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spans="1:26" ht="16.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spans="1:26" ht="16.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spans="1:26" ht="16.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spans="1:26" ht="16.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spans="1:26" ht="16.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spans="1:26" ht="16.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spans="1:26" ht="16.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spans="1:26" ht="16.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spans="1:26" ht="16.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spans="1:26" ht="16.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spans="1:26" ht="16.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spans="1:26" ht="16.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spans="1:26" ht="16.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spans="1:26" ht="16.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spans="1:26" ht="16.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spans="1:26" ht="16.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spans="1:26" ht="16.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spans="1:26" ht="16.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spans="1:26" ht="16.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spans="1:26" ht="16.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spans="1:26" ht="16.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spans="1:26" ht="16.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spans="1:26" ht="16.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spans="1:26" ht="16.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spans="1:26" ht="16.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spans="1:26" ht="16.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spans="1:26" ht="16.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spans="1:26" ht="16.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spans="1:26" ht="16.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spans="1:26" ht="16.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spans="1:26" ht="16.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spans="1:26" ht="16.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spans="1:26" ht="16.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spans="1:26" ht="16.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spans="1:26" ht="16.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spans="1:26" ht="16.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spans="1:26" ht="16.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spans="1:26" ht="16.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spans="1:26" ht="16.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spans="1:26" ht="16.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spans="1:26" ht="16.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spans="1:26" ht="16.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spans="1:26" ht="16.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spans="1:26" ht="16.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spans="1:26" ht="16.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spans="1:26" ht="16.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spans="1:26" ht="16.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spans="1:26" ht="16.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spans="1:26" ht="16.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spans="1:26" ht="16.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spans="1:26" ht="16.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spans="1:26" ht="16.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spans="1:26" ht="16.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spans="1:26" ht="16.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spans="1:26" ht="16.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spans="1:26" ht="16.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spans="1:26" ht="16.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spans="1:26" ht="16.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spans="1:26" ht="16.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spans="1:26" ht="16.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spans="1:26" ht="16.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spans="1:26" ht="16.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spans="1:26" ht="16.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spans="1:26" ht="16.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spans="1:26" ht="16.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spans="1:26" ht="16.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spans="1:26" ht="16.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spans="1:26" ht="16.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spans="1:26" ht="16.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spans="1:26" ht="16.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spans="1:26" ht="16.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spans="1:26" ht="16.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spans="1:26" ht="16.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spans="1:26" ht="16.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spans="1:26" ht="16.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spans="1:26" ht="16.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spans="1:26" ht="16.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spans="1:26" ht="16.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spans="1:26" ht="16.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spans="1:26" ht="16.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spans="1:26" ht="16.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spans="1:26" ht="16.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spans="1:26" ht="16.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spans="1:26" ht="16.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spans="1:26" ht="16.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spans="1:26" ht="16.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spans="1:26" ht="16.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spans="1:26" ht="16.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spans="1:26" ht="16.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spans="1:26" ht="16.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spans="1:26" ht="16.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spans="1:26" ht="16.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spans="1:26" ht="16.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spans="1:26" ht="16.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spans="1:26" ht="16.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spans="1:26" ht="16.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spans="1:26" ht="16.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spans="1:26" ht="16.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spans="1:26" ht="16.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spans="1:26" ht="16.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spans="1:26" ht="16.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spans="1:26" ht="16.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spans="1:26" ht="16.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spans="1:26" ht="16.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spans="1:26" ht="16.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spans="1:26" ht="16.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spans="1:26" ht="16.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spans="1:26" ht="16.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spans="1:26" ht="16.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spans="1:26" ht="16.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spans="1:26" ht="16.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spans="1:26" ht="16.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spans="1:26" ht="16.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spans="1:26" ht="16.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spans="1:26" ht="16.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spans="1:26" ht="16.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spans="1:26" ht="16.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spans="1:26" ht="16.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spans="1:26" ht="16.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spans="1:26" ht="16.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spans="1:26" ht="16.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spans="1:26" ht="16.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spans="1:26" ht="16.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spans="1:26" ht="16.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spans="1:26" ht="16.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spans="1:26" ht="16.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spans="1:26" ht="16.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spans="1:26" ht="16.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spans="1:26" ht="16.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spans="1:26" ht="16.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spans="1:26" ht="16.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spans="1:26" ht="16.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spans="1:26" ht="16.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spans="1:26" ht="16.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spans="1:26" ht="16.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spans="1:26" ht="16.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spans="1:26" ht="16.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spans="1:26" ht="16.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spans="1:26" ht="16.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spans="1:26" ht="16.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spans="1:26" ht="16.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spans="1:26" ht="16.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spans="1:26" ht="16.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spans="1:26" ht="16.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spans="1:26" ht="16.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spans="1:26" ht="16.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spans="1:26" ht="16.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spans="1:26" ht="16.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spans="1:26" ht="16.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spans="1:26" ht="16.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spans="1:26" ht="16.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spans="1:26" ht="16.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spans="1:26" ht="16.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spans="1:26" ht="16.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spans="1:26" ht="16.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spans="1:26" ht="16.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spans="1:26" ht="16.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spans="1:26" ht="16.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spans="1:26" ht="16.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spans="1:26" ht="16.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spans="1:26" ht="16.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spans="1:26" ht="16.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spans="1:26" ht="16.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spans="1:26" ht="16.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spans="1:26" ht="16.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spans="1:26" ht="16.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spans="1:26" ht="16.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spans="1:26" ht="16.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spans="1:26" ht="16.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spans="1:26" ht="16.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5">
    <mergeCell ref="I2:J2"/>
    <mergeCell ref="I3:J3"/>
    <mergeCell ref="I7:J7"/>
    <mergeCell ref="I12:J12"/>
    <mergeCell ref="A1:J1"/>
  </mergeCells>
  <conditionalFormatting sqref="D1:D1000">
    <cfRule type="cellIs" dxfId="7" priority="1" operator="equal">
      <formula>"پرداخت"</formula>
    </cfRule>
  </conditionalFormatting>
  <conditionalFormatting sqref="D1:D1000">
    <cfRule type="cellIs" dxfId="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600-000000000000}">
      <formula1>"داود,محمد,امید"</formula1>
    </dataValidation>
    <dataValidation type="list" allowBlank="1" sqref="D3:D35" xr:uid="{00000000-0002-0000-0600-000001000000}">
      <formula1>"برداشت,پرداخت"</formula1>
    </dataValidation>
  </dataValidation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Z1000"/>
  <sheetViews>
    <sheetView workbookViewId="0">
      <selection activeCell="B4" sqref="B4:E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308</v>
      </c>
      <c r="B3" s="32" t="s">
        <v>236</v>
      </c>
      <c r="C3" s="33">
        <v>10000000</v>
      </c>
      <c r="D3" s="32" t="s">
        <v>19</v>
      </c>
      <c r="E3" s="32" t="s">
        <v>9</v>
      </c>
      <c r="F3" s="34">
        <f t="shared" ref="F3:F35" si="0">IF($D3="","",IF($E3="داود",IF($D3="برداشت",- $C3, $C3),0))</f>
        <v>-10000000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Sheet7!J4+Sheet7!J8</f>
        <v>185019504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Sheet7!J5+Sheet7!J9</f>
        <v>940267000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Sheet7!J6+Sheet7!J10</f>
        <v>865427500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5" priority="1" operator="equal">
      <formula>"پرداخت"</formula>
    </cfRule>
  </conditionalFormatting>
  <conditionalFormatting sqref="D1:D1000">
    <cfRule type="cellIs" dxfId="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700-000000000000}">
      <formula1>"داود,محمد,امید"</formula1>
    </dataValidation>
    <dataValidation type="list" allowBlank="1" sqref="D3:D35" xr:uid="{00000000-0002-0000-07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8223-610A-4E81-934A-2CDD47A37728}">
  <sheetPr codeName="Sheet9">
    <tabColor theme="7" tint="0.39997558519241921"/>
  </sheetPr>
  <dimension ref="A1:Z1000"/>
  <sheetViews>
    <sheetView workbookViewId="0">
      <selection activeCell="B33" sqref="B33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274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Sheet8!J4+Sheet8!J8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Sheet8!J5+Sheet8!J9</f>
        <v>940267000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Sheet8!J6+Sheet8!J10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3" priority="1" operator="equal">
      <formula>"پرداخت"</formula>
    </cfRule>
  </conditionalFormatting>
  <conditionalFormatting sqref="D1:D1000">
    <cfRule type="cellIs" dxfId="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17E61E55-500D-4D03-A900-95C5E94C5D03}">
      <formula1>"برداشت,پرداخت"</formula1>
    </dataValidation>
    <dataValidation type="list" allowBlank="1" sqref="E3:E35" xr:uid="{32E4FFA0-1FE7-4839-AABB-9D836EB38256}">
      <formula1>"داود,محمد,امید"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FCD7-4C05-4F0D-82B4-867120713480}">
  <sheetPr codeName="Sheet10">
    <tabColor theme="6" tint="0.39997558519241921"/>
  </sheetPr>
  <dimension ref="A1:Z1000"/>
  <sheetViews>
    <sheetView workbookViewId="0">
      <selection activeCell="C32" sqref="C32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287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Sheet9!J4+Sheet9!J8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Sheet9!J5+Sheet9!J9</f>
        <v>940267000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Sheet9!J6+Sheet9!J10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" priority="1" operator="equal">
      <formula>"پرداخت"</formula>
    </cfRule>
  </conditionalFormatting>
  <conditionalFormatting sqref="D1:D1000">
    <cfRule type="cellIs" dxfId="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4930FD00-5265-4AEC-BBBA-30A8D42D7F88}">
      <formula1>"داود,محمد,امید"</formula1>
    </dataValidation>
    <dataValidation type="list" allowBlank="1" sqref="D3:D35" xr:uid="{EFA6D5E8-3991-4834-929C-70513B84D950}">
      <formula1>"برداشت,پرداخت"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2026-10-19T21:32:31Z</dcterms:created>
  <dcterms:modified xsi:type="dcterms:W3CDTF">2026-10-19T23:33:37Z</dcterms:modified>
</cp:coreProperties>
</file>