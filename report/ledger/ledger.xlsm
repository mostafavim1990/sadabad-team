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F25BDFB0-8879-44FF-86BD-8E2866A48DAF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lh+r+050pCBRwL8iHyvIYObNxzSBSlC/957MJ0QSjcI="/>
    </ext>
  </extLst>
</workbook>
</file>

<file path=xl/calcChain.xml><?xml version="1.0" encoding="utf-8"?>
<calcChain xmlns="http://schemas.openxmlformats.org/spreadsheetml/2006/main">
  <c r="H35" i="10" l="1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J10" i="9" s="1"/>
  <c r="G3" i="9"/>
  <c r="J9" i="9" s="1"/>
  <c r="F3" i="9"/>
  <c r="J8" i="9" s="1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J9" i="8" s="1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8" i="8" l="1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15" i="7"/>
  <c r="J13" i="7"/>
  <c r="J15" i="5"/>
  <c r="J13" i="5"/>
  <c r="J5" i="8" l="1"/>
  <c r="J14" i="7"/>
  <c r="J14" i="8" l="1"/>
  <c r="J5" i="9"/>
  <c r="J5" i="10" s="1"/>
  <c r="J15" i="8"/>
  <c r="J13" i="8"/>
  <c r="J14" i="10" l="1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<sst xmlns="http://schemas.openxmlformats.org/spreadsheetml/2006/main" count="946" uniqueCount="309">
  <si>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</si>
  <si>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</si>
  <si>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</si>
  <si>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</si>
  <si>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</si>
  <si>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</si>
  <si>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</si>
  <si>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</si>
  <si>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</si>
  <si>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</si>
  <si>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</si>
  <si>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</si>
  <si>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</si>
  <si>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</si>
  <si>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</si>
  <si>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</si>
  <si>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</si>
  <si>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</si>
  <si>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</si>
  <si>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</si>
  <si>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</si>
  <si>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</si>
  <si>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</si>
  <si>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انتقال از حساب ماههای قبل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</si>
  <si>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</si>
  <si>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</si>
  <si>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</si>
  <si>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</si>
  <si>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انتقال حساب از ماههای قبل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</si>
  <si>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</si>
  <si>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</si>
  <si>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</si>
  <si>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</si>
  <si>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</si>
  <si>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</si>
  <si>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</si>
  <si>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</si>
  <si>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</si>
  <si>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</si>
  <si>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</si>
  <si>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</si>
  <si>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</si>
  <si>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</si>
  <si>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</si>
  <si>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</si>
  <si>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</si>
  <si>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</si>
  <si>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</si>
  <si>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</si>
  <si>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</si>
  <si>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</si>
  <si>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</si>
  <si>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</si>
  <si>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</si>
  <si>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</si>
  <si>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</si>
  <si>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</si>
  <si>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</si>
  <si>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</si>
  <si>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</si>
  <si>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</si>
  <si>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</si>
  <si>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</si>
  <si>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</si>
  <si>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</si>
  <si>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</si>
  <si>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</si>
  <si>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</si>
  <si>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</si>
  <si>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</si>
  <si>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</si>
  <si>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</si>
  <si>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</si>
  <si>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</si>
  <si>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</si>
  <si>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</si>
  <si>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</si>
  <si>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</si>
  <si>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</si>
  <si>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</si>
  <si>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</si>
  <si>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</si>
  <si>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</si>
  <si>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</si>
  <si>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</si>
  <si>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</si>
  <si>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</si>
  <si>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</si>
  <si>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</si>
  <si>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</si>
  <si>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</si>
  <si>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</si>
  <si>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</si>
  <si>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</si>
  <si>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</si>
  <si>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</si>
  <si>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</si>
  <si>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</si>
  <si>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</si>
  <si>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</si>
  <si>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</si>
  <si>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</si>
  <si>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</si>
  <si>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</si>
  <si>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</si>
  <si>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</si>
  <si>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</si>
  <si>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</si>
  <si>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</si>
  <si>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</si>
  <si>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</si>
  <si>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</si>
  <si>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</si>
  <si>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</si>
  <si>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</si>
  <si>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</si>
  <si>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</si>
  <si>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</si>
  <si>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</si>
  <si>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</si>
  <si>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</si>
  <si>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</si>
  <si>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</si>
  <si>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</si>
  <si>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</si>
  <si>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</si>
  <si>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</si>
  <si>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</si>
  <si>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</si>
  <si>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</si>
  <si>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</si>
  <si>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</si>
  <si>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</si>
  <si>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</si>
  <si>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</si>
  <si>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</si>
  <si>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</si>
  <si>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</si>
  <si>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</si>
  <si>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</si>
  <si>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</si>
  <si>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</si>
  <si>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</si>
  <si>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</si>
  <si>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</si>
  <si>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</si>
  <si>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</si>
  <si>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</si>
  <si>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</si>
  <si>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</si>
  <si>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</si>
  <si>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</si>
  <si>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</si>
  <si>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</si>
  <si>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</si>
  <si>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</si>
  <si>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</si>
  <si>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</si>
  <si>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</si>
  <si>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</si>
  <si>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</si>
  <si>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</si>
  <si>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</si>
  <si>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</si>
  <si>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</si>
  <si>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</si>
  <si>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</si>
  <si>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</si>
  <si>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</si>
  <si>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</si>
  <si>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</si>
  <si>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</si>
  <si>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</si>
  <si>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</si>
  <si>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</si>
  <si>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</si>
  <si>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</si>
  <si>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</si>
  <si>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</si>
  <si>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</si>
  <si>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</si>
  <si>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</si>
  <si>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</si>
  <si>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</si>
  <si>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</si>
  <si>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</si>
  <si>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</si>
  <si>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</si>
  <si>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</si>
  <si>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</si>
  <si>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</si>
  <si>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</si>
  <si>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</si>
  <si>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</si>
  <si>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</si>
  <si>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</si>
  <si>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</si>
  <si>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</si>
  <si>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</si>
  <si>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</si>
  <si>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</si>
  <si>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</si>
  <si>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</si>
  <si>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</si>
  <si>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</si>
  <si>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</si>
  <si>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</si>
  <si>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</si>
  <si>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</si>
  <si>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</si>
  <si>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</si>
  <si>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</si>
  <si>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</si>
  <si>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</si>
  <si>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</si>
  <si>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</si>
  <si>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</si>
  <si>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</si>
  <si>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</si>
  <si>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</si>
  <si>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</si>
  <si>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</si>
  <si>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</si>
  <si>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</si>
  <si>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</si>
  <si>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</si>
  <si>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</si>
  <si>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</si>
  <si>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</si>
  <si>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</si>
  <si>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</si>
  <si>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</si>
  <si>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</si>
  <si>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</si>
  <si>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</si>
  <si>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</si>
  <si>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</si>
  <si>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</si>
  <si>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</si>
  <si>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</si>
  <si>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</si>
  <si>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</si>
  <si>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</si>
  <si>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</si>
  <si>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</si>
  <si>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</si>
  <si>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</si>
  <si>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</si>
  <si>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</si>
  <si>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</si>
  <si>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</si>
  <si>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</si>
  <si>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</si>
  <si>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</si>
  <si>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</si>
  <si>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</si>
  <si>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</si>
  <si>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</si>
  <si>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</si>
  <si>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</si>
  <si>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</si>
  <si>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</si>
  <si>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</si>
  <si>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</si>
  <si>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</si>
  <si>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</si>
  <si>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</si>
  <si>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</si>
  <si>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</si>
  <si>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</si>
  <si>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</si>
  <si>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</si>
  <si>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</si>
  <si>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</si>
  <si>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</si>
  <si>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</si>
  <si>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</si>
  <si>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</si>
  <si>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</si>
  <si>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</si>
  <si>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</si>
  <si>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</si>
  <si>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</si>
  <si>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</si>
  <si>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</si>
  <si>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</si>
  <si>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</si>
  <si>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</si>
  <si>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</si>
  <si>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</si>
  <si>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</si>
  <si>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</si>
  <si>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</si>
  <si>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</si>
  <si>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</si>
  <si>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</si>
  <si>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</si>
  <si>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</si>
  <si>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</si>
  <si>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</si>
  <si>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</si>
  <si>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</si>
  <si>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</si>
  <si>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</si>
  <si>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</si>
  <si>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</si>
  <si>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</si>
  <si>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</si>
  <si>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1405-07-17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</si>
</sst>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28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tabSelected="1" workbookViewId="0">
      <selection activeCell="B9" sqref="B9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5" t="s">
        <v>12</v>
      </c>
      <c r="J2" s="11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24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27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29</v>
      </c>
      <c r="B5" s="52" t="s">
        <v>30</v>
      </c>
      <c r="C5" s="53">
        <v>1000000</v>
      </c>
      <c r="D5" s="54" t="s">
        <v>31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32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34</v>
      </c>
      <c r="B6" s="52" t="s">
        <v>35</v>
      </c>
      <c r="C6" s="53">
        <v>654000</v>
      </c>
      <c r="D6" s="54" t="s">
        <v>31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40</v>
      </c>
      <c r="B7" s="52" t="s">
        <v>41</v>
      </c>
      <c r="C7" s="53">
        <v>580000</v>
      </c>
      <c r="D7" s="54" t="s">
        <v>31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6" t="s">
        <v>273</v>
      </c>
      <c r="J7" s="1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45</v>
      </c>
      <c r="B8" s="52" t="s">
        <v>46</v>
      </c>
      <c r="C8" s="53">
        <v>1700000</v>
      </c>
      <c r="D8" s="54" t="s">
        <v>31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47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53</v>
      </c>
      <c r="B9" s="52" t="s">
        <v>54</v>
      </c>
      <c r="C9" s="53">
        <v>7000000</v>
      </c>
      <c r="D9" s="54" t="s">
        <v>31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57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58</v>
      </c>
      <c r="B10" s="52" t="s">
        <v>59</v>
      </c>
      <c r="C10" s="53">
        <v>3300000</v>
      </c>
      <c r="D10" s="54" t="s">
        <v>31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63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64</v>
      </c>
      <c r="B11" s="52" t="s">
        <v>65</v>
      </c>
      <c r="C11" s="53">
        <v>15000000</v>
      </c>
      <c r="D11" s="54" t="s">
        <v>31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58</v>
      </c>
      <c r="B12" s="52" t="s">
        <v>69</v>
      </c>
      <c r="C12" s="53">
        <v>70000000</v>
      </c>
      <c r="D12" s="54" t="s">
        <v>31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70</v>
      </c>
      <c r="B13" s="52" t="s">
        <v>71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70</v>
      </c>
      <c r="B14" s="52" t="s">
        <v>76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7" t="s">
        <v>77</v>
      </c>
      <c r="J14" s="1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79</v>
      </c>
      <c r="B15" s="52" t="s">
        <v>81</v>
      </c>
      <c r="C15" s="53">
        <v>182000</v>
      </c>
      <c r="D15" s="54" t="s">
        <v>31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84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79</v>
      </c>
      <c r="B16" s="52" t="s">
        <v>85</v>
      </c>
      <c r="C16" s="53">
        <v>2250000</v>
      </c>
      <c r="D16" s="54" t="s">
        <v>31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87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79</v>
      </c>
      <c r="B17" s="52" t="s">
        <v>90</v>
      </c>
      <c r="C17" s="53">
        <v>2250000</v>
      </c>
      <c r="D17" s="54" t="s">
        <v>31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91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93</v>
      </c>
      <c r="B18" s="52" t="s">
        <v>94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93</v>
      </c>
      <c r="B19" s="52" t="s">
        <v>99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93</v>
      </c>
      <c r="B20" s="52" t="s">
        <v>100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93</v>
      </c>
      <c r="B21" s="52" t="s">
        <v>104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93</v>
      </c>
      <c r="B22" s="52" t="s">
        <v>107</v>
      </c>
      <c r="C22" s="53">
        <v>23016300</v>
      </c>
      <c r="D22" s="54" t="s">
        <v>31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112</v>
      </c>
      <c r="B23" s="52" t="s">
        <v>113</v>
      </c>
      <c r="C23" s="53">
        <v>10000</v>
      </c>
      <c r="D23" s="54" t="s">
        <v>31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112</v>
      </c>
      <c r="B24" s="52" t="s">
        <v>115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112</v>
      </c>
      <c r="B25" s="62" t="s">
        <v>117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112</v>
      </c>
      <c r="B26" s="52" t="s">
        <v>120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125</v>
      </c>
      <c r="B27" s="52" t="s">
        <v>120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128</v>
      </c>
      <c r="B28" s="52" t="s">
        <v>129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128</v>
      </c>
      <c r="B29" s="52" t="s">
        <v>133</v>
      </c>
      <c r="C29" s="53">
        <v>182000</v>
      </c>
      <c r="D29" s="54" t="s">
        <v>31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128</v>
      </c>
      <c r="B30" s="52" t="s">
        <v>135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128</v>
      </c>
      <c r="B31" s="52" t="s">
        <v>139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128</v>
      </c>
      <c r="B32" s="52" t="s">
        <v>141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144</v>
      </c>
      <c r="B33" s="52" t="s">
        <v>145</v>
      </c>
      <c r="C33" s="53">
        <v>15000000</v>
      </c>
      <c r="D33" s="54" t="s">
        <v>31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144</v>
      </c>
      <c r="B34" s="52" t="s">
        <v>149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144</v>
      </c>
      <c r="B35" s="52" t="s">
        <v>149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144</v>
      </c>
      <c r="B36" s="52" t="s">
        <v>149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153</v>
      </c>
      <c r="B37" s="52" t="s">
        <v>154</v>
      </c>
      <c r="C37" s="53">
        <v>5000000</v>
      </c>
      <c r="D37" s="54" t="s">
        <v>31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153</v>
      </c>
      <c r="B38" s="52" t="s">
        <v>156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153</v>
      </c>
      <c r="B39" s="52" t="s">
        <v>156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153</v>
      </c>
      <c r="B40" s="52" t="s">
        <v>156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158</v>
      </c>
      <c r="B41" s="52" t="s">
        <v>159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158</v>
      </c>
      <c r="B42" s="52" t="s">
        <v>161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158</v>
      </c>
      <c r="B43" s="64" t="s">
        <v>159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163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167</v>
      </c>
      <c r="C45" s="53">
        <v>500000000</v>
      </c>
      <c r="D45" s="54" t="s">
        <v>31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170</v>
      </c>
      <c r="C46" s="53">
        <v>200000000</v>
      </c>
      <c r="D46" s="54" t="s">
        <v>31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172</v>
      </c>
      <c r="C47" s="53">
        <v>100000000</v>
      </c>
      <c r="D47" s="54" t="s">
        <v>31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173</v>
      </c>
      <c r="C48" s="53">
        <v>20300000</v>
      </c>
      <c r="D48" s="54" t="s">
        <v>31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176</v>
      </c>
      <c r="C49" s="53">
        <v>63600000</v>
      </c>
      <c r="D49" s="54" t="s">
        <v>31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177</v>
      </c>
      <c r="B50" s="52" t="s">
        <v>180</v>
      </c>
      <c r="C50" s="53">
        <v>200000000</v>
      </c>
      <c r="D50" s="54" t="s">
        <v>31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58</v>
      </c>
      <c r="B51" s="52" t="s">
        <v>181</v>
      </c>
      <c r="C51" s="53">
        <v>200000000</v>
      </c>
      <c r="D51" s="54" t="s">
        <v>31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40</v>
      </c>
      <c r="B52" s="52" t="s">
        <v>180</v>
      </c>
      <c r="C52" s="53">
        <v>70000000</v>
      </c>
      <c r="D52" s="54" t="s">
        <v>31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184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187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189</v>
      </c>
      <c r="C56" s="53">
        <v>1009960000</v>
      </c>
      <c r="D56" s="54" t="s">
        <v>31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190</v>
      </c>
      <c r="C57" s="53">
        <v>326000000</v>
      </c>
      <c r="D57" s="54" t="s">
        <v>31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191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192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193</v>
      </c>
      <c r="B62" s="52" t="s">
        <v>194</v>
      </c>
      <c r="C62" s="53">
        <v>914000000</v>
      </c>
      <c r="D62" s="54" t="s">
        <v>31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195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27" priority="1" operator="lessThan">
      <formula>0</formula>
    </cfRule>
  </conditionalFormatting>
  <conditionalFormatting sqref="J3">
    <cfRule type="cellIs" dxfId="26" priority="2" operator="greaterThan">
      <formula>0</formula>
    </cfRule>
  </conditionalFormatting>
  <conditionalFormatting sqref="J5">
    <cfRule type="cellIs" dxfId="25" priority="3" operator="lessThan">
      <formula>0</formula>
    </cfRule>
  </conditionalFormatting>
  <conditionalFormatting sqref="J5">
    <cfRule type="cellIs" dxfId="24" priority="4" operator="greaterThan">
      <formula>0</formula>
    </cfRule>
  </conditionalFormatting>
  <conditionalFormatting sqref="J4">
    <cfRule type="cellIs" dxfId="23" priority="5" operator="greaterThan">
      <formula>0</formula>
    </cfRule>
  </conditionalFormatting>
  <conditionalFormatting sqref="J4">
    <cfRule type="cellIs" dxfId="22" priority="6" operator="lessThan">
      <formula>0</formula>
    </cfRule>
  </conditionalFormatting>
  <conditionalFormatting sqref="D1:D1000">
    <cfRule type="cellIs" dxfId="21" priority="7" operator="equal">
      <formula>"پرداخت"</formula>
    </cfRule>
  </conditionalFormatting>
  <conditionalFormatting sqref="D1:D1000">
    <cfRule type="cellIs" dxfId="20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B5" sqref="B5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8" t="s">
        <v>1</v>
      </c>
      <c r="B1" s="113"/>
      <c r="C1" s="113"/>
      <c r="D1" s="113"/>
      <c r="E1" s="113"/>
      <c r="F1" s="113"/>
      <c r="G1" s="113"/>
      <c r="H1" s="113"/>
      <c r="I1" s="113"/>
      <c r="J1" s="114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19" t="s">
        <v>28</v>
      </c>
      <c r="J3" s="120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33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42</v>
      </c>
      <c r="B5" s="92" t="s">
        <v>43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42</v>
      </c>
      <c r="B6" s="92" t="s">
        <v>51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61</v>
      </c>
      <c r="B7" s="92" t="s">
        <v>62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19" t="s">
        <v>52</v>
      </c>
      <c r="J7" s="120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61</v>
      </c>
      <c r="B8" s="92" t="s">
        <v>68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61</v>
      </c>
      <c r="B9" s="92" t="s">
        <v>83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27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88</v>
      </c>
      <c r="B10" s="92" t="s">
        <v>89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32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97</v>
      </c>
      <c r="B11" s="92" t="s">
        <v>98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97</v>
      </c>
      <c r="B12" s="92" t="s">
        <v>101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1" t="s">
        <v>273</v>
      </c>
      <c r="J12" s="114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108</v>
      </c>
      <c r="B13" s="92" t="s">
        <v>109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47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108</v>
      </c>
      <c r="B14" s="92" t="s">
        <v>119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57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108</v>
      </c>
      <c r="B15" s="92" t="s">
        <v>130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63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138</v>
      </c>
      <c r="B16" s="92" t="s">
        <v>140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138</v>
      </c>
      <c r="B17" s="92" t="s">
        <v>143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sqref="A1:J26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8" t="s">
        <v>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25</v>
      </c>
      <c r="B4" s="32" t="s">
        <v>26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38</v>
      </c>
      <c r="B5" s="32" t="s">
        <v>39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38</v>
      </c>
      <c r="B6" s="32" t="s">
        <v>44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38</v>
      </c>
      <c r="B7" s="32" t="s">
        <v>49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55</v>
      </c>
      <c r="B8" s="32" t="s">
        <v>56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66</v>
      </c>
      <c r="B9" s="32" t="s">
        <v>67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27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74</v>
      </c>
      <c r="B10" s="32" t="s">
        <v>75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74</v>
      </c>
      <c r="B11" s="32" t="s">
        <v>82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74</v>
      </c>
      <c r="B12" s="32" t="s">
        <v>86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95</v>
      </c>
      <c r="B13" s="32" t="s">
        <v>96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105</v>
      </c>
      <c r="B14" s="32" t="s">
        <v>106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57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105</v>
      </c>
      <c r="B15" s="32" t="s">
        <v>114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63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105</v>
      </c>
      <c r="B16" s="32" t="s">
        <v>118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123</v>
      </c>
      <c r="B17" s="32" t="s">
        <v>124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126</v>
      </c>
      <c r="B18" s="32" t="s">
        <v>127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131</v>
      </c>
      <c r="B19" s="32" t="s">
        <v>132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131</v>
      </c>
      <c r="B20" s="32" t="s">
        <v>137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131</v>
      </c>
      <c r="B21" s="32" t="s">
        <v>142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146</v>
      </c>
      <c r="B22" s="32" t="s">
        <v>147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150</v>
      </c>
      <c r="B23" s="32" t="s">
        <v>151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152</v>
      </c>
      <c r="B24" s="32" t="s">
        <v>120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sqref="A1:J31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8" t="s">
        <v>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36</v>
      </c>
      <c r="B4" s="32" t="s">
        <v>37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48</v>
      </c>
      <c r="B5" s="32" t="s">
        <v>50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48</v>
      </c>
      <c r="B6" s="32" t="s">
        <v>60</v>
      </c>
      <c r="C6" s="33">
        <f>1200000+254000+589000+150000+4885000</f>
        <v>7078000</v>
      </c>
      <c r="D6" s="32" t="s">
        <v>31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72</v>
      </c>
      <c r="B7" s="32" t="s">
        <v>73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78</v>
      </c>
      <c r="B8" s="32" t="s">
        <v>80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78</v>
      </c>
      <c r="B9" s="32" t="s">
        <v>92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102</v>
      </c>
      <c r="B10" s="32" t="s">
        <v>103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110</v>
      </c>
      <c r="B11" s="32" t="s">
        <v>111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116</v>
      </c>
      <c r="B12" s="32" t="s">
        <v>73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121</v>
      </c>
      <c r="B13" s="32" t="s">
        <v>122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134</v>
      </c>
      <c r="B14" s="32" t="s">
        <v>136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57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134</v>
      </c>
      <c r="B15" s="32" t="s">
        <v>148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63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155</v>
      </c>
      <c r="B16" s="32" t="s">
        <v>73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155</v>
      </c>
      <c r="B17" s="32" t="s">
        <v>157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155</v>
      </c>
      <c r="B18" s="32" t="s">
        <v>160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155</v>
      </c>
      <c r="B19" s="32" t="s">
        <v>162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164</v>
      </c>
      <c r="B20" s="32" t="s">
        <v>165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164</v>
      </c>
      <c r="B21" s="32" t="s">
        <v>166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168</v>
      </c>
      <c r="B22" s="32" t="s">
        <v>169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168</v>
      </c>
      <c r="B23" s="32" t="s">
        <v>171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174</v>
      </c>
      <c r="B24" s="32" t="s">
        <v>175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178</v>
      </c>
      <c r="B25" s="105" t="s">
        <v>179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182</v>
      </c>
      <c r="B26" s="32" t="s">
        <v>183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185</v>
      </c>
      <c r="B27" s="46" t="s">
        <v>186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185</v>
      </c>
      <c r="B28" s="46" t="s">
        <v>188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5" priority="1" operator="equal">
      <formula>"پرداخت"</formula>
    </cfRule>
  </conditionalFormatting>
  <conditionalFormatting sqref="D1:D1000">
    <cfRule type="cellIs" dxfId="1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sqref="A1:J35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196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197</v>
      </c>
      <c r="B3" s="32" t="s">
        <v>198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199</v>
      </c>
      <c r="B4" s="32" t="s">
        <v>200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201</v>
      </c>
      <c r="B5" s="32" t="s">
        <v>202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201</v>
      </c>
      <c r="B6" s="32" t="s">
        <v>203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204</v>
      </c>
      <c r="B7" s="32" t="s">
        <v>205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204</v>
      </c>
      <c r="B8" s="32" t="s">
        <v>206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207</v>
      </c>
      <c r="B9" s="32" t="s">
        <v>208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209</v>
      </c>
      <c r="B10" s="32" t="s">
        <v>210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209</v>
      </c>
      <c r="B11" s="32" t="s">
        <v>211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209</v>
      </c>
      <c r="B12" s="32" t="s">
        <v>212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214</v>
      </c>
      <c r="B13" s="32" t="s">
        <v>215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214</v>
      </c>
      <c r="B14" s="32" t="s">
        <v>217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57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219</v>
      </c>
      <c r="B15" s="32" t="s">
        <v>220</v>
      </c>
      <c r="C15" s="33">
        <v>5000000</v>
      </c>
      <c r="D15" s="32" t="s">
        <v>31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63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221</v>
      </c>
      <c r="B16" s="32" t="s">
        <v>222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221</v>
      </c>
      <c r="B17" s="32" t="s">
        <v>223</v>
      </c>
      <c r="C17" s="33">
        <v>23200000</v>
      </c>
      <c r="D17" s="32" t="s">
        <v>31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224</v>
      </c>
      <c r="B18" s="32" t="s">
        <v>225</v>
      </c>
      <c r="C18" s="33">
        <v>14000000</v>
      </c>
      <c r="D18" s="32" t="s">
        <v>31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226</v>
      </c>
      <c r="B19" s="32" t="s">
        <v>227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226</v>
      </c>
      <c r="B20" s="32" t="s">
        <v>228</v>
      </c>
      <c r="C20" s="33">
        <v>200000</v>
      </c>
      <c r="D20" s="32" t="s">
        <v>31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229</v>
      </c>
      <c r="B21" s="32" t="s">
        <v>230</v>
      </c>
      <c r="C21" s="33">
        <v>6000000</v>
      </c>
      <c r="D21" s="32" t="s">
        <v>31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232</v>
      </c>
      <c r="B22" s="32" t="s">
        <v>233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232</v>
      </c>
      <c r="B23" s="32" t="s">
        <v>234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232</v>
      </c>
      <c r="B24" s="32" t="s">
        <v>235</v>
      </c>
      <c r="C24" s="33">
        <v>1530000</v>
      </c>
      <c r="D24" s="32" t="s">
        <v>31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237</v>
      </c>
      <c r="B25" s="32" t="s">
        <v>238</v>
      </c>
      <c r="C25" s="33">
        <v>50000</v>
      </c>
      <c r="D25" s="32" t="s">
        <v>31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240</v>
      </c>
      <c r="B26" s="32" t="s">
        <v>241</v>
      </c>
      <c r="C26" s="33">
        <v>380000</v>
      </c>
      <c r="D26" s="32" t="s">
        <v>31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242</v>
      </c>
      <c r="B27" s="32" t="s">
        <v>243</v>
      </c>
      <c r="C27" s="33">
        <v>1500000</v>
      </c>
      <c r="D27" s="32" t="s">
        <v>31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246</v>
      </c>
      <c r="B28" s="32" t="s">
        <v>247</v>
      </c>
      <c r="C28" s="33">
        <v>150000</v>
      </c>
      <c r="D28" s="32" t="s">
        <v>31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246</v>
      </c>
      <c r="B29" s="32" t="s">
        <v>248</v>
      </c>
      <c r="C29" s="33">
        <v>150000</v>
      </c>
      <c r="D29" s="32" t="s">
        <v>31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246</v>
      </c>
      <c r="B30" s="32" t="s">
        <v>251</v>
      </c>
      <c r="C30" s="33">
        <v>200000</v>
      </c>
      <c r="D30" s="32" t="s">
        <v>31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246</v>
      </c>
      <c r="B31" s="32" t="s">
        <v>252</v>
      </c>
      <c r="C31" s="33">
        <v>2500000</v>
      </c>
      <c r="D31" s="32" t="s">
        <v>31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246</v>
      </c>
      <c r="B32" s="32" t="s">
        <v>253</v>
      </c>
      <c r="C32" s="33">
        <v>400000</v>
      </c>
      <c r="D32" s="32" t="s">
        <v>31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3" priority="1" operator="equal">
      <formula>"پرداخت"</formula>
    </cfRule>
  </conditionalFormatting>
  <conditionalFormatting sqref="D1:D1000">
    <cfRule type="cellIs" dxfId="1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D28" sqref="D28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213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216</v>
      </c>
      <c r="B3" s="32" t="s">
        <v>218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216</v>
      </c>
      <c r="B4" s="32" t="s">
        <v>231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216</v>
      </c>
      <c r="B5" s="32" t="s">
        <v>236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216</v>
      </c>
      <c r="B6" s="32" t="s">
        <v>239</v>
      </c>
      <c r="C6" s="33">
        <v>3690000</v>
      </c>
      <c r="D6" s="32" t="s">
        <v>31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244</v>
      </c>
      <c r="B7" s="32" t="s">
        <v>245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249</v>
      </c>
      <c r="B8" s="32" t="s">
        <v>250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249</v>
      </c>
      <c r="B9" s="32" t="s">
        <v>254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27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255</v>
      </c>
      <c r="B10" s="32" t="s">
        <v>256</v>
      </c>
      <c r="C10" s="33">
        <v>56100</v>
      </c>
      <c r="D10" s="32" t="s">
        <v>31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32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257</v>
      </c>
      <c r="B11" s="32" t="s">
        <v>258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257</v>
      </c>
      <c r="B12" s="32" t="s">
        <v>259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260</v>
      </c>
      <c r="B13" s="32" t="s">
        <v>261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260</v>
      </c>
      <c r="B14" s="32" t="s">
        <v>263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57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264</v>
      </c>
      <c r="B15" s="32" t="s">
        <v>265</v>
      </c>
      <c r="C15" s="33">
        <f>525000+43000</f>
        <v>568000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63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266</v>
      </c>
      <c r="B16" s="32" t="s">
        <v>267</v>
      </c>
      <c r="C16" s="33">
        <v>400000</v>
      </c>
      <c r="D16" s="32" t="s">
        <v>31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268</v>
      </c>
      <c r="B17" s="32" t="s">
        <v>269</v>
      </c>
      <c r="C17" s="33">
        <v>40000</v>
      </c>
      <c r="D17" s="32" t="s">
        <v>31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270</v>
      </c>
      <c r="B18" s="32" t="s">
        <v>271</v>
      </c>
      <c r="C18" s="33">
        <v>74000</v>
      </c>
      <c r="D18" s="32" t="s">
        <v>31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275</v>
      </c>
      <c r="B19" s="32" t="s">
        <v>277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275</v>
      </c>
      <c r="B20" s="32" t="s">
        <v>276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275</v>
      </c>
      <c r="B21" s="32" t="s">
        <v>278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275</v>
      </c>
      <c r="B22" s="32" t="s">
        <v>279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282</v>
      </c>
      <c r="B23" s="44" t="s">
        <v>283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282</v>
      </c>
      <c r="B24" s="32" t="s">
        <v>284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282</v>
      </c>
      <c r="B25" s="32" t="s">
        <v>288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1" priority="1" operator="equal">
      <formula>"پرداخت"</formula>
    </cfRule>
  </conditionalFormatting>
  <conditionalFormatting sqref="D1:D2 D8:D1000">
    <cfRule type="cellIs" dxfId="10" priority="2" operator="equal">
      <formula>"برداشت"</formula>
    </cfRule>
  </conditionalFormatting>
  <conditionalFormatting sqref="D3:D7">
    <cfRule type="cellIs" dxfId="9" priority="3" operator="equal">
      <formula>"پرداخت"</formula>
    </cfRule>
  </conditionalFormatting>
  <conditionalFormatting sqref="D3:D7">
    <cfRule type="cellIs" dxfId="8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B16" sqref="B16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8" t="s">
        <v>262</v>
      </c>
      <c r="B1" s="113"/>
      <c r="C1" s="113"/>
      <c r="D1" s="113"/>
      <c r="E1" s="113"/>
      <c r="F1" s="113"/>
      <c r="G1" s="113"/>
      <c r="H1" s="113"/>
      <c r="I1" s="113"/>
      <c r="J1" s="114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280</v>
      </c>
      <c r="B3" s="32" t="s">
        <v>281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4" t="s">
        <v>23</v>
      </c>
      <c r="J3" s="12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280</v>
      </c>
      <c r="B4" s="32" t="s">
        <v>285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280</v>
      </c>
      <c r="B5" s="32" t="s">
        <v>286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289</v>
      </c>
      <c r="B6" s="32" t="s">
        <v>290</v>
      </c>
      <c r="C6" s="33">
        <v>500000</v>
      </c>
      <c r="D6" s="32" t="s">
        <v>31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291</v>
      </c>
      <c r="B7" s="32" t="s">
        <v>292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6" t="s">
        <v>52</v>
      </c>
      <c r="J7" s="127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291</v>
      </c>
      <c r="B8" s="32" t="s">
        <v>293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294</v>
      </c>
      <c r="B9" s="32" t="s">
        <v>295</v>
      </c>
      <c r="C9" s="33">
        <v>500300</v>
      </c>
      <c r="D9" s="32" t="s">
        <v>31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27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296</v>
      </c>
      <c r="B10" s="32" t="s">
        <v>297</v>
      </c>
      <c r="C10" s="33">
        <v>20002000</v>
      </c>
      <c r="D10" s="32" t="s">
        <v>31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32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298</v>
      </c>
      <c r="B11" s="32" t="s">
        <v>299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300</v>
      </c>
      <c r="B12" s="32" t="s">
        <v>301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302</v>
      </c>
      <c r="B13" s="32" t="s">
        <v>303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304</v>
      </c>
      <c r="B14" s="32" t="s">
        <v>305</v>
      </c>
      <c r="C14" s="33">
        <v>100000</v>
      </c>
      <c r="D14" s="32" t="s">
        <v>31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57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306</v>
      </c>
      <c r="B15" s="32" t="s">
        <v>307</v>
      </c>
      <c r="C15" s="33">
        <v>182000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63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workbookViewId="0">
      <selection activeCell="B4" sqref="B4:E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308</v>
      </c>
      <c r="B3" s="32" t="s">
        <v>236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workbookViewId="0">
      <selection activeCell="B33" sqref="B3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274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Sheet8!J5+Sheet8!J9</f>
        <v>940267000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C32" sqref="C32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287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940267000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2026-10-19T21:32:35Z</dcterms:modified>
</cp:coreProperties>
</file>